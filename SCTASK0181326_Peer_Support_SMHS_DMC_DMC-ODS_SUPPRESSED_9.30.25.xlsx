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ddam\Desktop\"/>
    </mc:Choice>
  </mc:AlternateContent>
  <xr:revisionPtr revIDLastSave="0" documentId="8_{F4D50A8B-DB4F-4403-A4EB-25C3E1B7D897}" xr6:coauthVersionLast="47" xr6:coauthVersionMax="47" xr10:uidLastSave="{00000000-0000-0000-0000-000000000000}"/>
  <bookViews>
    <workbookView xWindow="-108" yWindow="-108" windowWidth="23256" windowHeight="13896" firstSheet="5" activeTab="6" xr2:uid="{3C4F14EA-0FE7-4D57-BFBF-752AC7E43E41}"/>
  </bookViews>
  <sheets>
    <sheet name="Notes" sheetId="8" r:id="rId1"/>
    <sheet name="SMHS Peer Supports 2023" sheetId="1" r:id="rId2"/>
    <sheet name="SMHS Peer Supports 2024" sheetId="4" r:id="rId3"/>
    <sheet name="DMC-ODS Peer Supports 2023" sheetId="2" r:id="rId4"/>
    <sheet name="DMC-ODS Peer Supports 2024" sheetId="5" r:id="rId5"/>
    <sheet name="DMC Peer Supports 2023" sheetId="6" r:id="rId6"/>
    <sheet name="DMC Peer Supports 202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D11" i="7"/>
  <c r="D8" i="7"/>
  <c r="D9" i="7"/>
  <c r="D6" i="7"/>
  <c r="D5" i="7"/>
  <c r="D6" i="6"/>
  <c r="D7" i="6"/>
  <c r="D8" i="6"/>
  <c r="D9" i="6"/>
  <c r="D10" i="6"/>
  <c r="D11" i="6"/>
  <c r="D12" i="6"/>
  <c r="D13" i="6"/>
  <c r="D5" i="6"/>
  <c r="D11" i="5"/>
  <c r="D36" i="5"/>
  <c r="D32" i="5"/>
  <c r="D33" i="5"/>
  <c r="D34" i="5"/>
  <c r="D38" i="2"/>
  <c r="D26" i="2"/>
  <c r="D27" i="2"/>
  <c r="D28" i="2"/>
  <c r="D29" i="2"/>
  <c r="D30" i="2"/>
  <c r="D31" i="2"/>
  <c r="D32" i="2"/>
  <c r="D33" i="2"/>
  <c r="D34" i="2"/>
  <c r="D35" i="2"/>
  <c r="D36" i="2"/>
  <c r="D23" i="2"/>
  <c r="D24" i="2"/>
  <c r="D21" i="2"/>
  <c r="D13" i="2"/>
  <c r="D14" i="2"/>
  <c r="D15" i="2"/>
  <c r="D16" i="2"/>
  <c r="D17" i="2"/>
  <c r="D18" i="2"/>
  <c r="D6" i="2"/>
  <c r="D7" i="2"/>
  <c r="D8" i="2"/>
  <c r="D9" i="2"/>
  <c r="D10" i="2"/>
  <c r="D11" i="2"/>
  <c r="D52" i="4"/>
  <c r="D53" i="4"/>
  <c r="D48" i="4"/>
  <c r="D46" i="4"/>
  <c r="D29" i="4"/>
  <c r="D25" i="4"/>
  <c r="D20" i="4"/>
  <c r="D21" i="4"/>
  <c r="D17" i="4"/>
  <c r="D12" i="4"/>
  <c r="D9" i="4"/>
  <c r="D10" i="4"/>
  <c r="D7" i="4"/>
  <c r="D51" i="1"/>
  <c r="D52" i="1"/>
  <c r="D47" i="1"/>
  <c r="D39" i="1"/>
  <c r="D40" i="1"/>
  <c r="D42" i="1"/>
  <c r="D43" i="1"/>
  <c r="D44" i="1"/>
  <c r="D45" i="1"/>
  <c r="D28" i="1"/>
  <c r="D29" i="1"/>
  <c r="D25" i="1"/>
  <c r="D23" i="1"/>
  <c r="D15" i="1"/>
  <c r="D16" i="1"/>
  <c r="D17" i="1"/>
  <c r="D18" i="1"/>
  <c r="D19" i="1"/>
  <c r="D20" i="1"/>
  <c r="D21" i="1"/>
  <c r="D9" i="1"/>
  <c r="D10" i="1"/>
  <c r="D12" i="1"/>
  <c r="D7" i="1"/>
  <c r="D8" i="4"/>
  <c r="D14" i="4"/>
  <c r="D16" i="4"/>
  <c r="D22" i="4"/>
  <c r="D24" i="4"/>
  <c r="D27" i="4"/>
  <c r="D28" i="4"/>
  <c r="D30" i="4"/>
  <c r="D32" i="4"/>
  <c r="D33" i="4"/>
  <c r="D34" i="4"/>
  <c r="D35" i="4"/>
  <c r="D36" i="4"/>
  <c r="D37" i="4"/>
  <c r="D39" i="4"/>
  <c r="D40" i="4"/>
  <c r="D41" i="4"/>
  <c r="D47" i="4"/>
  <c r="D49" i="4"/>
  <c r="D51" i="4"/>
  <c r="D54" i="4"/>
  <c r="D6" i="4"/>
  <c r="D19" i="2"/>
  <c r="D25" i="2"/>
  <c r="D37" i="2"/>
  <c r="D5" i="2"/>
  <c r="D6" i="5"/>
  <c r="D7" i="5"/>
  <c r="D9" i="5"/>
  <c r="D12" i="5"/>
  <c r="D13" i="5"/>
  <c r="D17" i="5"/>
  <c r="D18" i="5"/>
  <c r="D21" i="5"/>
  <c r="D24" i="5"/>
  <c r="D25" i="5"/>
  <c r="D31" i="5"/>
  <c r="D35" i="5"/>
  <c r="D5" i="5"/>
  <c r="D24" i="1"/>
  <c r="D26" i="1"/>
  <c r="D27" i="1"/>
  <c r="D31" i="1"/>
  <c r="D32" i="1"/>
  <c r="D33" i="1"/>
  <c r="D34" i="1"/>
  <c r="D35" i="1"/>
  <c r="D36" i="1"/>
  <c r="D37" i="1"/>
  <c r="D48" i="1"/>
  <c r="D49" i="1"/>
  <c r="D53" i="1"/>
  <c r="D13" i="1"/>
  <c r="D14" i="1"/>
  <c r="D8" i="1"/>
  <c r="D12" i="7"/>
</calcChain>
</file>

<file path=xl/sharedStrings.xml><?xml version="1.0" encoding="utf-8"?>
<sst xmlns="http://schemas.openxmlformats.org/spreadsheetml/2006/main" count="465" uniqueCount="97">
  <si>
    <t>SMHS Total</t>
  </si>
  <si>
    <t>By County</t>
  </si>
  <si>
    <t>Alameda</t>
  </si>
  <si>
    <t>Amador</t>
  </si>
  <si>
    <t>Butte</t>
  </si>
  <si>
    <t>​Calaveras</t>
  </si>
  <si>
    <t>Colusa</t>
  </si>
  <si>
    <t>Contra Costa</t>
  </si>
  <si>
    <t>Del Norte</t>
  </si>
  <si>
    <t>​El Dorado</t>
  </si>
  <si>
    <t>Fresno</t>
  </si>
  <si>
    <t>Glenn</t>
  </si>
  <si>
    <t>Humboldt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</si>
  <si>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</si>
  <si>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</si>
  <si>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</si>
  <si>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</si>
  <si>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</si>
  <si>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</si>
  <si>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</si>
  <si>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</si>
  <si>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Mendocino</t>
  </si>
  <si>
    <t>Merced</t>
  </si>
  <si>
    <t>Modoc</t>
  </si>
  <si>
    <t>Mono</t>
  </si>
  <si>
    <t>Monterey</t>
  </si>
  <si>
    <t>Nevada</t>
  </si>
  <si>
    <t>Orange</t>
  </si>
  <si>
    <t>Placer</t>
  </si>
  <si>
    <t>Riverside</t>
  </si>
  <si>
    <t>Sacramento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</si>
  <si>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</si>
  <si>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</si>
  <si>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</si>
  <si>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</si>
  <si>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</si>
  <si>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</si>
  <si>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</si>
  <si>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</si>
  <si>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</si>
  <si>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</si>
  <si>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</si>
  <si>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</si>
  <si>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</si>
  <si>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</si>
  <si>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</si>
  <si>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Sutter/Yuba</t>
  </si>
  <si>
    <t>Trinity</t>
  </si>
  <si>
    <t>Tulare</t>
  </si>
  <si>
    <t>Ventura</t>
  </si>
  <si>
    <t>​Yolo</t>
  </si>
  <si>
    <t>By Age Group</t>
  </si>
  <si>
    <t>Count</t>
  </si>
  <si>
    <t>By Gender</t>
  </si>
  <si>
    <t>Female</t>
  </si>
  <si>
    <t>Male</t>
  </si>
  <si>
    <t>By Race/Ethnicity</t>
  </si>
  <si>
    <t>Total Unique Member Count - CY 2023</t>
  </si>
  <si>
    <t>R1 Alaskan Native or American Indian</t>
  </si>
  <si>
    <t>R2 Asian or Pacific Islander</t>
  </si>
  <si>
    <t>R3 Black</t>
  </si>
  <si>
    <t>R4 Hispanic</t>
  </si>
  <si>
    <t>R5 White</t>
  </si>
  <si>
    <t>R6 Other</t>
  </si>
  <si>
    <t>R7 Unknown</t>
  </si>
  <si>
    <t>Children/Youth - Under the Age of 21</t>
  </si>
  <si>
    <t>Adults - Age 21 and Over</t>
  </si>
  <si>
    <t>Total Unique Member Count - CY 2024</t>
  </si>
  <si>
    <t>Unique Member Count</t>
  </si>
  <si>
    <t>Mariposa</t>
  </si>
  <si>
    <t>Tehama</t>
  </si>
  <si>
    <t>DMC-ODS Total</t>
  </si>
  <si>
    <t>DMC Total</t>
  </si>
  <si>
    <t>Analyst Notes:</t>
  </si>
  <si>
    <t>•	    Data Source: Management Information System/Decision Support System (DHCS Data warehouse)</t>
  </si>
  <si>
    <t>•	    Cells marked as "S" indicate suppression of member counts less than 11 (1–10), with complementary suppression applied as needed.</t>
  </si>
  <si>
    <t>Definitions:</t>
  </si>
  <si>
    <t>•	    Adult refers to individuals aged 21 and over.</t>
  </si>
  <si>
    <t>•	    All demographic stratifications (County, Age, Gender, and Race/Ethnicity) are based on the member’s most recent eligibility record within the measurement period.</t>
  </si>
  <si>
    <t>•	    Peer Support: Peer Support Services</t>
  </si>
  <si>
    <t>•	    SMHS: Specialty Mental Health Services</t>
  </si>
  <si>
    <t>•	    DMC-ODS: Drug Medi-Cal Organized Delivery System</t>
  </si>
  <si>
    <t>•	    DMC: Drug Medi-Cal</t>
  </si>
  <si>
    <t>•	    Children/Youth refers to individuals under the age of 21.</t>
  </si>
  <si>
    <t>Note: Cells marked as "S" indicate suppression of member counts less than 11 (1–10), with complementary suppression applied as needed.</t>
  </si>
  <si>
    <t>•	    No numerator claims for Peer Support Services under the DMC program were reported during Calendar Year 2023.</t>
  </si>
  <si>
    <t xml:space="preserve">Note: Counties listed are participating in the Peer Support Services benefit.  </t>
  </si>
  <si>
    <t>Note: Zero values indicate that no Peer Support Services claims were reported for Medi-Cal members eligible in this county.</t>
  </si>
  <si>
    <t>•	    Counties listed are participating in the Peer Support Services benefit.</t>
  </si>
  <si>
    <t>•	    Zero values indicate that no Peer Support Services claims were reported for Medi-Cal members eligible in this county.</t>
  </si>
  <si>
    <t>Penetration Rate</t>
  </si>
  <si>
    <t>•	    Penetration rate is calculated by dividing the number of unique Medi-Cal members utilizing Peer Support Services benefit by the unique number of Medi-Cal eligibles.</t>
  </si>
  <si>
    <t>Unique Count of Medi-Cal Eligibles</t>
  </si>
  <si>
    <t>•	    Medi-Cal Eligibles (Denominator): The member’s aid code must be valid (&gt;'00'). Eligibility status codes ending in '9' are excluded (these typically denote ineligible or closed statuses). Eligibility status codes must fall within a specific valid range ('001' to '498'). The '010' eligibility status code (often representing 'Unknown' or specific ineligible states) is explicitly excluded. Member county codes '65' (Berkeley City), '66' (Tri-City), and '99' (Out of State) are excluded. The member’s county description cannot be 'UNKNOWN'.</t>
  </si>
  <si>
    <t>•	    Peer Support Services benefit claims (Numerator): Identified using the Peer Specialist taxonomy code (175T00000X) in conjunction with the HCPCS level II procedure codes: Behavioral health prevention education service: H0025, or Self-help/peer services: H0038.</t>
  </si>
  <si>
    <t>•	    Dates Represented: Calendar Year (CY) 2023 and 2024 | Date Downloaded: 9/30/2025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</si>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</sst>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0.0000000"/>
  </numFmts>
  <fonts count="8" x14ac:knownFonts="1">
    <font>
      <sz val="11"/>
      <color theme="1"/>
      <name val="Aptos Narrow"/>
      <family val="2"/>
      <scheme val="minor"/>
    </font>
    <font>
      <b/>
      <sz val="10"/>
      <color rgb="FF112277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3" fontId="0" fillId="0" borderId="4" xfId="0" applyNumberFormat="1" applyBorder="1"/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top" wrapText="1"/>
    </xf>
    <xf numFmtId="3" fontId="0" fillId="0" borderId="8" xfId="0" applyNumberFormat="1" applyBorder="1"/>
    <xf numFmtId="3" fontId="0" fillId="0" borderId="9" xfId="0" applyNumberFormat="1" applyBorder="1"/>
    <xf numFmtId="0" fontId="1" fillId="2" borderId="10" xfId="0" applyFont="1" applyFill="1" applyBorder="1" applyAlignment="1">
      <alignment horizontal="left" vertical="top" wrapText="1"/>
    </xf>
    <xf numFmtId="3" fontId="0" fillId="0" borderId="11" xfId="0" applyNumberFormat="1" applyBorder="1"/>
    <xf numFmtId="0" fontId="1" fillId="2" borderId="13" xfId="0" applyFont="1" applyFill="1" applyBorder="1" applyAlignment="1">
      <alignment horizontal="left" vertical="top" wrapText="1"/>
    </xf>
    <xf numFmtId="3" fontId="0" fillId="0" borderId="14" xfId="0" applyNumberFormat="1" applyBorder="1"/>
    <xf numFmtId="0" fontId="2" fillId="0" borderId="0" xfId="0" applyFont="1"/>
    <xf numFmtId="3" fontId="0" fillId="0" borderId="16" xfId="0" applyNumberFormat="1" applyBorder="1"/>
    <xf numFmtId="3" fontId="0" fillId="0" borderId="17" xfId="0" applyNumberFormat="1" applyBorder="1"/>
    <xf numFmtId="0" fontId="1" fillId="2" borderId="18" xfId="0" applyFont="1" applyFill="1" applyBorder="1" applyAlignment="1">
      <alignment horizontal="left" vertical="top" wrapText="1"/>
    </xf>
    <xf numFmtId="3" fontId="0" fillId="0" borderId="19" xfId="0" applyNumberFormat="1" applyBorder="1"/>
    <xf numFmtId="0" fontId="1" fillId="2" borderId="20" xfId="0" applyFont="1" applyFill="1" applyBorder="1" applyAlignment="1">
      <alignment horizontal="left" vertical="top" wrapText="1"/>
    </xf>
    <xf numFmtId="3" fontId="0" fillId="0" borderId="10" xfId="0" applyNumberFormat="1" applyBorder="1"/>
    <xf numFmtId="3" fontId="0" fillId="0" borderId="13" xfId="0" applyNumberFormat="1" applyBorder="1"/>
    <xf numFmtId="0" fontId="1" fillId="2" borderId="21" xfId="0" applyFont="1" applyFill="1" applyBorder="1" applyAlignment="1">
      <alignment horizontal="left" vertical="top" wrapText="1"/>
    </xf>
    <xf numFmtId="3" fontId="0" fillId="0" borderId="22" xfId="0" applyNumberFormat="1" applyBorder="1"/>
    <xf numFmtId="0" fontId="0" fillId="0" borderId="4" xfId="0" applyBorder="1"/>
    <xf numFmtId="0" fontId="1" fillId="2" borderId="22" xfId="0" applyFont="1" applyFill="1" applyBorder="1" applyAlignment="1">
      <alignment horizontal="left" vertical="top" wrapText="1"/>
    </xf>
    <xf numFmtId="3" fontId="0" fillId="0" borderId="23" xfId="0" applyNumberFormat="1" applyBorder="1"/>
    <xf numFmtId="0" fontId="1" fillId="2" borderId="2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11" xfId="0" applyBorder="1"/>
    <xf numFmtId="0" fontId="1" fillId="2" borderId="29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3" fontId="0" fillId="0" borderId="31" xfId="0" applyNumberFormat="1" applyBorder="1"/>
    <xf numFmtId="0" fontId="1" fillId="2" borderId="32" xfId="0" applyFont="1" applyFill="1" applyBorder="1" applyAlignment="1">
      <alignment horizontal="left" vertical="center" wrapText="1"/>
    </xf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1" fontId="0" fillId="0" borderId="9" xfId="0" applyNumberFormat="1" applyBorder="1"/>
    <xf numFmtId="1" fontId="0" fillId="0" borderId="12" xfId="1" applyNumberFormat="1" applyFont="1" applyBorder="1"/>
    <xf numFmtId="3" fontId="0" fillId="0" borderId="36" xfId="0" applyNumberFormat="1" applyBorder="1"/>
    <xf numFmtId="0" fontId="1" fillId="2" borderId="19" xfId="0" applyFont="1" applyFill="1" applyBorder="1" applyAlignment="1">
      <alignment horizontal="left" vertical="top" wrapText="1"/>
    </xf>
    <xf numFmtId="3" fontId="0" fillId="0" borderId="30" xfId="0" applyNumberForma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3" fontId="0" fillId="0" borderId="27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1" fontId="0" fillId="0" borderId="15" xfId="0" applyNumberForma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165" fontId="0" fillId="0" borderId="12" xfId="1" applyNumberFormat="1" applyFont="1" applyBorder="1" applyAlignment="1">
      <alignment horizontal="right"/>
    </xf>
    <xf numFmtId="165" fontId="0" fillId="0" borderId="15" xfId="1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10" fontId="0" fillId="0" borderId="12" xfId="1" applyNumberFormat="1" applyFont="1" applyBorder="1" applyAlignment="1">
      <alignment horizontal="right"/>
    </xf>
    <xf numFmtId="10" fontId="0" fillId="0" borderId="9" xfId="1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D1B1-AB8A-49E9-8839-2A9693E6E5CB}">
  <dimension ref="A1:A18"/>
  <sheetViews>
    <sheetView workbookViewId="0">
      <selection activeCell="D34" sqref="D34"/>
    </sheetView>
  </sheetViews>
  <sheetFormatPr defaultRowHeight="14.4" x14ac:dyDescent="0.3"/>
  <sheetData>
    <row r="1" spans="1:1" x14ac:dyDescent="0.3">
      <c r="A1" s="30" t="s">
        <v>73</v>
      </c>
    </row>
    <row r="2" spans="1:1" x14ac:dyDescent="0.3">
      <c r="A2" s="31" t="s">
        <v>74</v>
      </c>
    </row>
    <row r="3" spans="1:1" x14ac:dyDescent="0.3">
      <c r="A3" s="31" t="s">
        <v>95</v>
      </c>
    </row>
    <row r="4" spans="1:1" x14ac:dyDescent="0.3">
      <c r="A4" s="32" t="s">
        <v>75</v>
      </c>
    </row>
    <row r="5" spans="1:1" x14ac:dyDescent="0.3">
      <c r="A5" s="32" t="s">
        <v>89</v>
      </c>
    </row>
    <row r="6" spans="1:1" x14ac:dyDescent="0.3">
      <c r="A6" t="s">
        <v>88</v>
      </c>
    </row>
    <row r="7" spans="1:1" x14ac:dyDescent="0.3">
      <c r="A7" s="31" t="s">
        <v>78</v>
      </c>
    </row>
    <row r="8" spans="1:1" x14ac:dyDescent="0.3">
      <c r="A8" t="s">
        <v>85</v>
      </c>
    </row>
    <row r="9" spans="1:1" x14ac:dyDescent="0.3">
      <c r="A9" t="s">
        <v>94</v>
      </c>
    </row>
    <row r="10" spans="1:1" x14ac:dyDescent="0.3">
      <c r="A10" t="s">
        <v>93</v>
      </c>
    </row>
    <row r="11" spans="1:1" x14ac:dyDescent="0.3">
      <c r="A11" s="30" t="s">
        <v>76</v>
      </c>
    </row>
    <row r="12" spans="1:1" x14ac:dyDescent="0.3">
      <c r="A12" t="s">
        <v>79</v>
      </c>
    </row>
    <row r="13" spans="1:1" x14ac:dyDescent="0.3">
      <c r="A13" t="s">
        <v>80</v>
      </c>
    </row>
    <row r="14" spans="1:1" x14ac:dyDescent="0.3">
      <c r="A14" t="s">
        <v>81</v>
      </c>
    </row>
    <row r="15" spans="1:1" x14ac:dyDescent="0.3">
      <c r="A15" t="s">
        <v>82</v>
      </c>
    </row>
    <row r="16" spans="1:1" x14ac:dyDescent="0.3">
      <c r="A16" t="s">
        <v>77</v>
      </c>
    </row>
    <row r="17" spans="1:1" x14ac:dyDescent="0.3">
      <c r="A17" t="s">
        <v>83</v>
      </c>
    </row>
    <row r="18" spans="1:1" x14ac:dyDescent="0.3">
      <c r="A18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A593-AE9E-4ED8-B853-A932537666E7}">
  <dimension ref="A1:D75"/>
  <sheetViews>
    <sheetView zoomScaleNormal="100" workbookViewId="0">
      <selection activeCell="C17" sqref="C17"/>
    </sheetView>
  </sheetViews>
  <sheetFormatPr defaultRowHeight="14.4" x14ac:dyDescent="0.3"/>
  <cols>
    <col min="1" max="1" width="15.109375" customWidth="1"/>
    <col min="2" max="2" width="12.33203125" customWidth="1"/>
    <col min="3" max="3" width="13.88671875" customWidth="1"/>
    <col min="4" max="4" width="15.88671875" customWidth="1"/>
    <col min="5" max="5" width="11.6640625" customWidth="1"/>
  </cols>
  <sheetData>
    <row r="1" spans="1:4" ht="15" thickBot="1" x14ac:dyDescent="0.35">
      <c r="A1" s="1"/>
      <c r="B1" s="2" t="s">
        <v>0</v>
      </c>
    </row>
    <row r="2" spans="1:4" ht="39" customHeight="1" thickBot="1" x14ac:dyDescent="0.35">
      <c r="A2" s="3" t="s">
        <v>57</v>
      </c>
      <c r="B2" s="4">
        <v>553</v>
      </c>
    </row>
    <row r="4" spans="1:4" ht="15" thickBot="1" x14ac:dyDescent="0.35"/>
    <row r="5" spans="1:4" ht="50.4" customHeight="1" thickBot="1" x14ac:dyDescent="0.35">
      <c r="A5" s="5" t="s">
        <v>1</v>
      </c>
      <c r="B5" s="35" t="s">
        <v>68</v>
      </c>
      <c r="C5" s="6" t="s">
        <v>92</v>
      </c>
      <c r="D5" s="7" t="s">
        <v>90</v>
      </c>
    </row>
    <row r="6" spans="1:4" x14ac:dyDescent="0.3">
      <c r="A6" s="45" t="s">
        <v>2</v>
      </c>
      <c r="B6" s="46" t="s">
        <v>96</v>
      </c>
      <c r="C6" s="9">
        <v>525061</v>
      </c>
      <c r="D6" s="49" t="s">
        <v>96</v>
      </c>
    </row>
    <row r="7" spans="1:4" x14ac:dyDescent="0.3">
      <c r="A7" s="11" t="s">
        <v>3</v>
      </c>
      <c r="B7" s="47">
        <v>0</v>
      </c>
      <c r="C7" s="12">
        <v>10684</v>
      </c>
      <c r="D7" s="50">
        <f>B7/C7</f>
        <v>0</v>
      </c>
    </row>
    <row r="8" spans="1:4" x14ac:dyDescent="0.3">
      <c r="A8" s="11" t="s">
        <v>4</v>
      </c>
      <c r="B8" s="47">
        <v>0</v>
      </c>
      <c r="C8" s="12">
        <v>92341</v>
      </c>
      <c r="D8" s="50">
        <f>B8/C8</f>
        <v>0</v>
      </c>
    </row>
    <row r="9" spans="1:4" x14ac:dyDescent="0.3">
      <c r="A9" s="11" t="s">
        <v>5</v>
      </c>
      <c r="B9" s="47">
        <v>0</v>
      </c>
      <c r="C9" s="12">
        <v>15566</v>
      </c>
      <c r="D9" s="50">
        <f t="shared" ref="D9:D12" si="0">B9/C9</f>
        <v>0</v>
      </c>
    </row>
    <row r="10" spans="1:4" x14ac:dyDescent="0.3">
      <c r="A10" s="11" t="s">
        <v>6</v>
      </c>
      <c r="B10" s="47">
        <v>0</v>
      </c>
      <c r="C10" s="12">
        <v>11658</v>
      </c>
      <c r="D10" s="50">
        <f t="shared" si="0"/>
        <v>0</v>
      </c>
    </row>
    <row r="11" spans="1:4" x14ac:dyDescent="0.3">
      <c r="A11" s="11" t="s">
        <v>7</v>
      </c>
      <c r="B11" s="47" t="s">
        <v>96</v>
      </c>
      <c r="C11" s="12">
        <v>353556</v>
      </c>
      <c r="D11" s="50" t="s">
        <v>96</v>
      </c>
    </row>
    <row r="12" spans="1:4" x14ac:dyDescent="0.3">
      <c r="A12" s="11" t="s">
        <v>8</v>
      </c>
      <c r="B12" s="47">
        <v>0</v>
      </c>
      <c r="C12" s="12">
        <v>13725</v>
      </c>
      <c r="D12" s="50">
        <f t="shared" si="0"/>
        <v>0</v>
      </c>
    </row>
    <row r="13" spans="1:4" x14ac:dyDescent="0.3">
      <c r="A13" s="11" t="s">
        <v>9</v>
      </c>
      <c r="B13" s="47">
        <v>0</v>
      </c>
      <c r="C13" s="12">
        <v>46367</v>
      </c>
      <c r="D13" s="50">
        <f t="shared" ref="D13:D53" si="1">B13/C13</f>
        <v>0</v>
      </c>
    </row>
    <row r="14" spans="1:4" x14ac:dyDescent="0.3">
      <c r="A14" s="11" t="s">
        <v>10</v>
      </c>
      <c r="B14" s="47">
        <v>0</v>
      </c>
      <c r="C14" s="12">
        <v>570097</v>
      </c>
      <c r="D14" s="50">
        <f t="shared" si="1"/>
        <v>0</v>
      </c>
    </row>
    <row r="15" spans="1:4" x14ac:dyDescent="0.3">
      <c r="A15" s="11" t="s">
        <v>11</v>
      </c>
      <c r="B15" s="47">
        <v>0</v>
      </c>
      <c r="C15" s="12">
        <v>15113</v>
      </c>
      <c r="D15" s="50">
        <f t="shared" si="1"/>
        <v>0</v>
      </c>
    </row>
    <row r="16" spans="1:4" x14ac:dyDescent="0.3">
      <c r="A16" s="11" t="s">
        <v>12</v>
      </c>
      <c r="B16" s="47">
        <v>0</v>
      </c>
      <c r="C16" s="12">
        <v>66302</v>
      </c>
      <c r="D16" s="50">
        <f t="shared" si="1"/>
        <v>0</v>
      </c>
    </row>
    <row r="17" spans="1:4" x14ac:dyDescent="0.3">
      <c r="A17" s="11" t="s">
        <v>13</v>
      </c>
      <c r="B17" s="47">
        <v>0</v>
      </c>
      <c r="C17" s="12">
        <v>6824</v>
      </c>
      <c r="D17" s="50">
        <f t="shared" si="1"/>
        <v>0</v>
      </c>
    </row>
    <row r="18" spans="1:4" x14ac:dyDescent="0.3">
      <c r="A18" s="11" t="s">
        <v>14</v>
      </c>
      <c r="B18" s="47">
        <v>0</v>
      </c>
      <c r="C18" s="12">
        <v>523731</v>
      </c>
      <c r="D18" s="50">
        <f t="shared" si="1"/>
        <v>0</v>
      </c>
    </row>
    <row r="19" spans="1:4" x14ac:dyDescent="0.3">
      <c r="A19" s="11" t="s">
        <v>15</v>
      </c>
      <c r="B19" s="47">
        <v>0</v>
      </c>
      <c r="C19" s="12">
        <v>72292</v>
      </c>
      <c r="D19" s="50">
        <f t="shared" si="1"/>
        <v>0</v>
      </c>
    </row>
    <row r="20" spans="1:4" x14ac:dyDescent="0.3">
      <c r="A20" s="11" t="s">
        <v>16</v>
      </c>
      <c r="B20" s="47">
        <v>0</v>
      </c>
      <c r="C20" s="12">
        <v>38887</v>
      </c>
      <c r="D20" s="50">
        <f t="shared" si="1"/>
        <v>0</v>
      </c>
    </row>
    <row r="21" spans="1:4" x14ac:dyDescent="0.3">
      <c r="A21" s="11" t="s">
        <v>17</v>
      </c>
      <c r="B21" s="47">
        <v>0</v>
      </c>
      <c r="C21" s="12">
        <v>9821</v>
      </c>
      <c r="D21" s="50">
        <f t="shared" si="1"/>
        <v>0</v>
      </c>
    </row>
    <row r="22" spans="1:4" x14ac:dyDescent="0.3">
      <c r="A22" s="11" t="s">
        <v>18</v>
      </c>
      <c r="B22" s="47" t="s">
        <v>96</v>
      </c>
      <c r="C22" s="12">
        <v>4527004</v>
      </c>
      <c r="D22" s="50" t="s">
        <v>96</v>
      </c>
    </row>
    <row r="23" spans="1:4" x14ac:dyDescent="0.3">
      <c r="A23" s="11" t="s">
        <v>19</v>
      </c>
      <c r="B23" s="47">
        <v>0</v>
      </c>
      <c r="C23" s="12">
        <v>89821</v>
      </c>
      <c r="D23" s="50">
        <f t="shared" si="1"/>
        <v>0</v>
      </c>
    </row>
    <row r="24" spans="1:4" x14ac:dyDescent="0.3">
      <c r="A24" s="11" t="s">
        <v>20</v>
      </c>
      <c r="B24" s="47">
        <v>64</v>
      </c>
      <c r="C24" s="12">
        <v>61690</v>
      </c>
      <c r="D24" s="65">
        <f t="shared" si="1"/>
        <v>1.037445290970984E-3</v>
      </c>
    </row>
    <row r="25" spans="1:4" x14ac:dyDescent="0.3">
      <c r="A25" s="11" t="s">
        <v>21</v>
      </c>
      <c r="B25" s="47">
        <v>0</v>
      </c>
      <c r="C25" s="12">
        <v>46043</v>
      </c>
      <c r="D25" s="50">
        <f t="shared" si="1"/>
        <v>0</v>
      </c>
    </row>
    <row r="26" spans="1:4" x14ac:dyDescent="0.3">
      <c r="A26" s="11" t="s">
        <v>22</v>
      </c>
      <c r="B26" s="47">
        <v>46</v>
      </c>
      <c r="C26" s="12">
        <v>163477</v>
      </c>
      <c r="D26" s="65">
        <f t="shared" si="1"/>
        <v>2.8138514898120226E-4</v>
      </c>
    </row>
    <row r="27" spans="1:4" x14ac:dyDescent="0.3">
      <c r="A27" s="11" t="s">
        <v>23</v>
      </c>
      <c r="B27" s="47">
        <v>21</v>
      </c>
      <c r="C27" s="12">
        <v>4336</v>
      </c>
      <c r="D27" s="65">
        <f t="shared" si="1"/>
        <v>4.8431734317343177E-3</v>
      </c>
    </row>
    <row r="28" spans="1:4" x14ac:dyDescent="0.3">
      <c r="A28" s="11" t="s">
        <v>24</v>
      </c>
      <c r="B28" s="47">
        <v>0</v>
      </c>
      <c r="C28" s="12">
        <v>3975</v>
      </c>
      <c r="D28" s="50">
        <f t="shared" si="1"/>
        <v>0</v>
      </c>
    </row>
    <row r="29" spans="1:4" x14ac:dyDescent="0.3">
      <c r="A29" s="11" t="s">
        <v>25</v>
      </c>
      <c r="B29" s="47">
        <v>0</v>
      </c>
      <c r="C29" s="12">
        <v>214625</v>
      </c>
      <c r="D29" s="50">
        <f t="shared" si="1"/>
        <v>0</v>
      </c>
    </row>
    <row r="30" spans="1:4" x14ac:dyDescent="0.3">
      <c r="A30" s="11" t="s">
        <v>26</v>
      </c>
      <c r="B30" s="47" t="s">
        <v>96</v>
      </c>
      <c r="C30" s="12">
        <v>31178</v>
      </c>
      <c r="D30" s="50" t="s">
        <v>96</v>
      </c>
    </row>
    <row r="31" spans="1:4" x14ac:dyDescent="0.3">
      <c r="A31" s="11" t="s">
        <v>27</v>
      </c>
      <c r="B31" s="47">
        <v>28</v>
      </c>
      <c r="C31" s="12">
        <v>1069485</v>
      </c>
      <c r="D31" s="65">
        <f t="shared" si="1"/>
        <v>2.6180825350519174E-5</v>
      </c>
    </row>
    <row r="32" spans="1:4" x14ac:dyDescent="0.3">
      <c r="A32" s="11" t="s">
        <v>28</v>
      </c>
      <c r="B32" s="47">
        <v>65</v>
      </c>
      <c r="C32" s="12">
        <v>86166</v>
      </c>
      <c r="D32" s="65">
        <f t="shared" si="1"/>
        <v>7.5435786737228141E-4</v>
      </c>
    </row>
    <row r="33" spans="1:4" x14ac:dyDescent="0.3">
      <c r="A33" s="11" t="s">
        <v>29</v>
      </c>
      <c r="B33" s="47">
        <v>27</v>
      </c>
      <c r="C33" s="12">
        <v>1043346</v>
      </c>
      <c r="D33" s="65">
        <f t="shared" si="1"/>
        <v>2.5878280071999126E-5</v>
      </c>
    </row>
    <row r="34" spans="1:4" x14ac:dyDescent="0.3">
      <c r="A34" s="11" t="s">
        <v>30</v>
      </c>
      <c r="B34" s="47">
        <v>19</v>
      </c>
      <c r="C34" s="12">
        <v>684258</v>
      </c>
      <c r="D34" s="65">
        <f t="shared" si="1"/>
        <v>2.7767304145512365E-5</v>
      </c>
    </row>
    <row r="35" spans="1:4" x14ac:dyDescent="0.3">
      <c r="A35" s="11" t="s">
        <v>31</v>
      </c>
      <c r="B35" s="47">
        <v>23</v>
      </c>
      <c r="C35" s="12">
        <v>1036384</v>
      </c>
      <c r="D35" s="65">
        <f t="shared" si="1"/>
        <v>2.2192546392070891E-5</v>
      </c>
    </row>
    <row r="36" spans="1:4" x14ac:dyDescent="0.3">
      <c r="A36" s="11" t="s">
        <v>32</v>
      </c>
      <c r="B36" s="47">
        <v>198</v>
      </c>
      <c r="C36" s="12">
        <v>1105540</v>
      </c>
      <c r="D36" s="65">
        <f t="shared" si="1"/>
        <v>1.790979973587568E-4</v>
      </c>
    </row>
    <row r="37" spans="1:4" x14ac:dyDescent="0.3">
      <c r="A37" s="11" t="s">
        <v>33</v>
      </c>
      <c r="B37" s="47">
        <v>0</v>
      </c>
      <c r="C37" s="12">
        <v>266914</v>
      </c>
      <c r="D37" s="50">
        <f t="shared" si="1"/>
        <v>0</v>
      </c>
    </row>
    <row r="38" spans="1:4" x14ac:dyDescent="0.3">
      <c r="A38" s="11" t="s">
        <v>34</v>
      </c>
      <c r="B38" s="47" t="s">
        <v>96</v>
      </c>
      <c r="C38" s="12">
        <v>345956</v>
      </c>
      <c r="D38" s="50" t="s">
        <v>96</v>
      </c>
    </row>
    <row r="39" spans="1:4" ht="14.4" customHeight="1" x14ac:dyDescent="0.3">
      <c r="A39" s="11" t="s">
        <v>35</v>
      </c>
      <c r="B39" s="47">
        <v>0</v>
      </c>
      <c r="C39" s="12">
        <v>74426</v>
      </c>
      <c r="D39" s="50">
        <f t="shared" si="1"/>
        <v>0</v>
      </c>
    </row>
    <row r="40" spans="1:4" x14ac:dyDescent="0.3">
      <c r="A40" s="11" t="s">
        <v>36</v>
      </c>
      <c r="B40" s="47">
        <v>0</v>
      </c>
      <c r="C40" s="12">
        <v>181848</v>
      </c>
      <c r="D40" s="50">
        <f t="shared" si="1"/>
        <v>0</v>
      </c>
    </row>
    <row r="41" spans="1:4" x14ac:dyDescent="0.3">
      <c r="A41" s="11" t="s">
        <v>37</v>
      </c>
      <c r="B41" s="47" t="s">
        <v>96</v>
      </c>
      <c r="C41" s="12">
        <v>181470</v>
      </c>
      <c r="D41" s="50" t="s">
        <v>96</v>
      </c>
    </row>
    <row r="42" spans="1:4" x14ac:dyDescent="0.3">
      <c r="A42" s="11" t="s">
        <v>38</v>
      </c>
      <c r="B42" s="47">
        <v>0</v>
      </c>
      <c r="C42" s="12">
        <v>513346</v>
      </c>
      <c r="D42" s="50">
        <f t="shared" si="1"/>
        <v>0</v>
      </c>
    </row>
    <row r="43" spans="1:4" x14ac:dyDescent="0.3">
      <c r="A43" s="11" t="s">
        <v>39</v>
      </c>
      <c r="B43" s="47">
        <v>0</v>
      </c>
      <c r="C43" s="12">
        <v>88198</v>
      </c>
      <c r="D43" s="50">
        <f t="shared" si="1"/>
        <v>0</v>
      </c>
    </row>
    <row r="44" spans="1:4" x14ac:dyDescent="0.3">
      <c r="A44" s="11" t="s">
        <v>40</v>
      </c>
      <c r="B44" s="47">
        <v>0</v>
      </c>
      <c r="C44" s="12">
        <v>77721</v>
      </c>
      <c r="D44" s="50">
        <f t="shared" si="1"/>
        <v>0</v>
      </c>
    </row>
    <row r="45" spans="1:4" x14ac:dyDescent="0.3">
      <c r="A45" s="11" t="s">
        <v>41</v>
      </c>
      <c r="B45" s="47">
        <v>0</v>
      </c>
      <c r="C45" s="34">
        <v>948</v>
      </c>
      <c r="D45" s="50">
        <f t="shared" si="1"/>
        <v>0</v>
      </c>
    </row>
    <row r="46" spans="1:4" x14ac:dyDescent="0.3">
      <c r="A46" s="11" t="s">
        <v>42</v>
      </c>
      <c r="B46" s="47" t="s">
        <v>96</v>
      </c>
      <c r="C46" s="12">
        <v>21543</v>
      </c>
      <c r="D46" s="50" t="s">
        <v>96</v>
      </c>
    </row>
    <row r="47" spans="1:4" x14ac:dyDescent="0.3">
      <c r="A47" s="11" t="s">
        <v>43</v>
      </c>
      <c r="B47" s="47">
        <v>0</v>
      </c>
      <c r="C47" s="12">
        <v>153010</v>
      </c>
      <c r="D47" s="50">
        <f t="shared" si="1"/>
        <v>0</v>
      </c>
    </row>
    <row r="48" spans="1:4" x14ac:dyDescent="0.3">
      <c r="A48" s="11" t="s">
        <v>44</v>
      </c>
      <c r="B48" s="47">
        <v>0</v>
      </c>
      <c r="C48" s="12">
        <v>145822</v>
      </c>
      <c r="D48" s="50">
        <f t="shared" si="1"/>
        <v>0</v>
      </c>
    </row>
    <row r="49" spans="1:4" x14ac:dyDescent="0.3">
      <c r="A49" s="11" t="s">
        <v>45</v>
      </c>
      <c r="B49" s="47">
        <v>26</v>
      </c>
      <c r="C49" s="12">
        <v>280521</v>
      </c>
      <c r="D49" s="65">
        <f t="shared" si="1"/>
        <v>9.2684683143151499E-5</v>
      </c>
    </row>
    <row r="50" spans="1:4" x14ac:dyDescent="0.3">
      <c r="A50" s="11" t="s">
        <v>46</v>
      </c>
      <c r="B50" s="47" t="s">
        <v>96</v>
      </c>
      <c r="C50" s="12">
        <v>90769</v>
      </c>
      <c r="D50" s="50" t="s">
        <v>96</v>
      </c>
    </row>
    <row r="51" spans="1:4" x14ac:dyDescent="0.3">
      <c r="A51" s="11" t="s">
        <v>47</v>
      </c>
      <c r="B51" s="47">
        <v>0</v>
      </c>
      <c r="C51" s="12">
        <v>6471</v>
      </c>
      <c r="D51" s="50">
        <f t="shared" si="1"/>
        <v>0</v>
      </c>
    </row>
    <row r="52" spans="1:4" x14ac:dyDescent="0.3">
      <c r="A52" s="11" t="s">
        <v>48</v>
      </c>
      <c r="B52" s="47">
        <v>0</v>
      </c>
      <c r="C52" s="12">
        <v>301302</v>
      </c>
      <c r="D52" s="50">
        <f t="shared" si="1"/>
        <v>0</v>
      </c>
    </row>
    <row r="53" spans="1:4" x14ac:dyDescent="0.3">
      <c r="A53" s="11" t="s">
        <v>49</v>
      </c>
      <c r="B53" s="47">
        <v>0</v>
      </c>
      <c r="C53" s="12">
        <v>277044</v>
      </c>
      <c r="D53" s="50">
        <f t="shared" si="1"/>
        <v>0</v>
      </c>
    </row>
    <row r="54" spans="1:4" ht="15" thickBot="1" x14ac:dyDescent="0.35">
      <c r="A54" s="13" t="s">
        <v>50</v>
      </c>
      <c r="B54" s="48" t="s">
        <v>96</v>
      </c>
      <c r="C54" s="14">
        <v>67060</v>
      </c>
      <c r="D54" s="51" t="s">
        <v>96</v>
      </c>
    </row>
    <row r="55" spans="1:4" ht="16.2" thickBot="1" x14ac:dyDescent="0.35">
      <c r="A55" s="15"/>
      <c r="B55" s="15"/>
    </row>
    <row r="56" spans="1:4" ht="15" thickBot="1" x14ac:dyDescent="0.35">
      <c r="A56" s="5" t="s">
        <v>51</v>
      </c>
      <c r="B56" s="5" t="s">
        <v>52</v>
      </c>
    </row>
    <row r="57" spans="1:4" ht="39.6" x14ac:dyDescent="0.3">
      <c r="A57" s="11" t="s">
        <v>65</v>
      </c>
      <c r="B57" s="16">
        <v>106</v>
      </c>
    </row>
    <row r="58" spans="1:4" ht="27" thickBot="1" x14ac:dyDescent="0.35">
      <c r="A58" s="13" t="s">
        <v>66</v>
      </c>
      <c r="B58" s="17">
        <v>447</v>
      </c>
    </row>
    <row r="59" spans="1:4" ht="16.2" thickBot="1" x14ac:dyDescent="0.35">
      <c r="A59" s="15"/>
    </row>
    <row r="60" spans="1:4" ht="15" thickBot="1" x14ac:dyDescent="0.35">
      <c r="A60" s="5" t="s">
        <v>53</v>
      </c>
      <c r="B60" s="5" t="s">
        <v>52</v>
      </c>
    </row>
    <row r="61" spans="1:4" x14ac:dyDescent="0.3">
      <c r="A61" s="11" t="s">
        <v>54</v>
      </c>
      <c r="B61" s="16">
        <v>287</v>
      </c>
    </row>
    <row r="62" spans="1:4" ht="15" thickBot="1" x14ac:dyDescent="0.35">
      <c r="A62" s="13" t="s">
        <v>55</v>
      </c>
      <c r="B62" s="17">
        <v>266</v>
      </c>
    </row>
    <row r="63" spans="1:4" ht="16.2" thickBot="1" x14ac:dyDescent="0.35">
      <c r="A63" s="15"/>
    </row>
    <row r="64" spans="1:4" ht="27" thickBot="1" x14ac:dyDescent="0.35">
      <c r="A64" s="5" t="s">
        <v>56</v>
      </c>
      <c r="B64" s="5" t="s">
        <v>52</v>
      </c>
    </row>
    <row r="65" spans="1:2" ht="39.6" x14ac:dyDescent="0.3">
      <c r="A65" s="18" t="s">
        <v>58</v>
      </c>
      <c r="B65" s="52" t="s">
        <v>96</v>
      </c>
    </row>
    <row r="66" spans="1:2" ht="26.4" x14ac:dyDescent="0.3">
      <c r="A66" s="20" t="s">
        <v>59</v>
      </c>
      <c r="B66" s="53" t="s">
        <v>96</v>
      </c>
    </row>
    <row r="67" spans="1:2" x14ac:dyDescent="0.3">
      <c r="A67" s="20" t="s">
        <v>60</v>
      </c>
      <c r="B67" s="21">
        <v>48</v>
      </c>
    </row>
    <row r="68" spans="1:2" x14ac:dyDescent="0.3">
      <c r="A68" s="20" t="s">
        <v>61</v>
      </c>
      <c r="B68" s="21">
        <v>135</v>
      </c>
    </row>
    <row r="69" spans="1:2" x14ac:dyDescent="0.3">
      <c r="A69" s="20" t="s">
        <v>62</v>
      </c>
      <c r="B69" s="21">
        <v>228</v>
      </c>
    </row>
    <row r="70" spans="1:2" x14ac:dyDescent="0.3">
      <c r="A70" s="23" t="s">
        <v>63</v>
      </c>
      <c r="B70" s="54" t="s">
        <v>96</v>
      </c>
    </row>
    <row r="71" spans="1:2" ht="15" thickBot="1" x14ac:dyDescent="0.35">
      <c r="A71" s="13" t="s">
        <v>64</v>
      </c>
      <c r="B71" s="22">
        <v>115</v>
      </c>
    </row>
    <row r="73" spans="1:2" x14ac:dyDescent="0.3">
      <c r="A73" s="33" t="s">
        <v>84</v>
      </c>
    </row>
    <row r="74" spans="1:2" x14ac:dyDescent="0.3">
      <c r="A74" s="33" t="s">
        <v>87</v>
      </c>
    </row>
    <row r="75" spans="1:2" x14ac:dyDescent="0.3">
      <c r="A75" s="3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BEB6-1009-42B4-A028-2E6A117D0AC1}">
  <dimension ref="A1:D77"/>
  <sheetViews>
    <sheetView workbookViewId="0">
      <selection activeCell="E17" sqref="E17"/>
    </sheetView>
  </sheetViews>
  <sheetFormatPr defaultRowHeight="14.4" x14ac:dyDescent="0.3"/>
  <cols>
    <col min="1" max="1" width="15.109375" customWidth="1"/>
    <col min="2" max="2" width="12.33203125" customWidth="1"/>
    <col min="3" max="3" width="13.88671875" customWidth="1"/>
    <col min="4" max="4" width="15.88671875" customWidth="1"/>
    <col min="5" max="5" width="11.6640625" customWidth="1"/>
  </cols>
  <sheetData>
    <row r="1" spans="1:4" ht="24.9" customHeight="1" thickBot="1" x14ac:dyDescent="0.35">
      <c r="A1" s="1"/>
      <c r="B1" s="2" t="s">
        <v>0</v>
      </c>
    </row>
    <row r="2" spans="1:4" ht="39" customHeight="1" thickBot="1" x14ac:dyDescent="0.35">
      <c r="A2" s="3" t="s">
        <v>67</v>
      </c>
      <c r="B2" s="4">
        <v>2608</v>
      </c>
    </row>
    <row r="4" spans="1:4" ht="15" thickBot="1" x14ac:dyDescent="0.35"/>
    <row r="5" spans="1:4" ht="50.4" customHeight="1" thickBot="1" x14ac:dyDescent="0.35">
      <c r="A5" s="5" t="s">
        <v>1</v>
      </c>
      <c r="B5" s="28" t="s">
        <v>68</v>
      </c>
      <c r="C5" s="6" t="s">
        <v>92</v>
      </c>
      <c r="D5" s="29" t="s">
        <v>90</v>
      </c>
    </row>
    <row r="6" spans="1:4" x14ac:dyDescent="0.3">
      <c r="A6" s="8" t="s">
        <v>2</v>
      </c>
      <c r="B6" s="58">
        <v>137</v>
      </c>
      <c r="C6" s="9">
        <v>536147</v>
      </c>
      <c r="D6" s="66">
        <f>B6/C6</f>
        <v>2.55526935709796E-4</v>
      </c>
    </row>
    <row r="7" spans="1:4" x14ac:dyDescent="0.3">
      <c r="A7" s="11" t="s">
        <v>3</v>
      </c>
      <c r="B7" s="59">
        <v>0</v>
      </c>
      <c r="C7" s="12">
        <v>10426</v>
      </c>
      <c r="D7" s="56">
        <f>B7/C7</f>
        <v>0</v>
      </c>
    </row>
    <row r="8" spans="1:4" x14ac:dyDescent="0.3">
      <c r="A8" s="11" t="s">
        <v>4</v>
      </c>
      <c r="B8" s="59">
        <v>0</v>
      </c>
      <c r="C8" s="12">
        <v>93448</v>
      </c>
      <c r="D8" s="56">
        <f t="shared" ref="D8:D54" si="0">B8/C8</f>
        <v>0</v>
      </c>
    </row>
    <row r="9" spans="1:4" x14ac:dyDescent="0.3">
      <c r="A9" s="11" t="s">
        <v>5</v>
      </c>
      <c r="B9" s="59">
        <v>0</v>
      </c>
      <c r="C9" s="12">
        <v>15429</v>
      </c>
      <c r="D9" s="56">
        <f t="shared" si="0"/>
        <v>0</v>
      </c>
    </row>
    <row r="10" spans="1:4" x14ac:dyDescent="0.3">
      <c r="A10" s="11" t="s">
        <v>6</v>
      </c>
      <c r="B10" s="59">
        <v>0</v>
      </c>
      <c r="C10" s="12">
        <v>11790</v>
      </c>
      <c r="D10" s="56">
        <f t="shared" si="0"/>
        <v>0</v>
      </c>
    </row>
    <row r="11" spans="1:4" x14ac:dyDescent="0.3">
      <c r="A11" s="11" t="s">
        <v>7</v>
      </c>
      <c r="B11" s="59" t="s">
        <v>96</v>
      </c>
      <c r="C11" s="12">
        <v>367117</v>
      </c>
      <c r="D11" s="55" t="s">
        <v>96</v>
      </c>
    </row>
    <row r="12" spans="1:4" x14ac:dyDescent="0.3">
      <c r="A12" s="11" t="s">
        <v>8</v>
      </c>
      <c r="B12" s="59">
        <v>0</v>
      </c>
      <c r="C12" s="12">
        <v>13549</v>
      </c>
      <c r="D12" s="56">
        <f t="shared" si="0"/>
        <v>0</v>
      </c>
    </row>
    <row r="13" spans="1:4" x14ac:dyDescent="0.3">
      <c r="A13" s="11" t="s">
        <v>9</v>
      </c>
      <c r="B13" s="59" t="s">
        <v>96</v>
      </c>
      <c r="C13" s="12">
        <v>45711</v>
      </c>
      <c r="D13" s="55" t="s">
        <v>96</v>
      </c>
    </row>
    <row r="14" spans="1:4" x14ac:dyDescent="0.3">
      <c r="A14" s="11" t="s">
        <v>10</v>
      </c>
      <c r="B14" s="59">
        <v>80</v>
      </c>
      <c r="C14" s="12">
        <v>579522</v>
      </c>
      <c r="D14" s="66">
        <f t="shared" si="0"/>
        <v>1.380448024406321E-4</v>
      </c>
    </row>
    <row r="15" spans="1:4" x14ac:dyDescent="0.3">
      <c r="A15" s="11" t="s">
        <v>11</v>
      </c>
      <c r="B15" s="59" t="s">
        <v>96</v>
      </c>
      <c r="C15" s="12">
        <v>14982</v>
      </c>
      <c r="D15" s="55" t="s">
        <v>96</v>
      </c>
    </row>
    <row r="16" spans="1:4" x14ac:dyDescent="0.3">
      <c r="A16" s="11" t="s">
        <v>12</v>
      </c>
      <c r="B16" s="59">
        <v>29</v>
      </c>
      <c r="C16" s="12">
        <v>65770</v>
      </c>
      <c r="D16" s="66">
        <f t="shared" si="0"/>
        <v>4.4093051543256801E-4</v>
      </c>
    </row>
    <row r="17" spans="1:4" x14ac:dyDescent="0.3">
      <c r="A17" s="11" t="s">
        <v>13</v>
      </c>
      <c r="B17" s="59">
        <v>0</v>
      </c>
      <c r="C17" s="12">
        <v>6296</v>
      </c>
      <c r="D17" s="56">
        <f t="shared" si="0"/>
        <v>0</v>
      </c>
    </row>
    <row r="18" spans="1:4" x14ac:dyDescent="0.3">
      <c r="A18" s="11" t="s">
        <v>14</v>
      </c>
      <c r="B18" s="59" t="s">
        <v>96</v>
      </c>
      <c r="C18" s="12">
        <v>527315</v>
      </c>
      <c r="D18" s="55" t="s">
        <v>96</v>
      </c>
    </row>
    <row r="19" spans="1:4" x14ac:dyDescent="0.3">
      <c r="A19" s="11" t="s">
        <v>15</v>
      </c>
      <c r="B19" s="59" t="s">
        <v>96</v>
      </c>
      <c r="C19" s="12">
        <v>72680</v>
      </c>
      <c r="D19" s="55" t="s">
        <v>96</v>
      </c>
    </row>
    <row r="20" spans="1:4" x14ac:dyDescent="0.3">
      <c r="A20" s="11" t="s">
        <v>16</v>
      </c>
      <c r="B20" s="59">
        <v>0</v>
      </c>
      <c r="C20" s="12">
        <v>38605</v>
      </c>
      <c r="D20" s="56">
        <f t="shared" si="0"/>
        <v>0</v>
      </c>
    </row>
    <row r="21" spans="1:4" x14ac:dyDescent="0.3">
      <c r="A21" s="11" t="s">
        <v>17</v>
      </c>
      <c r="B21" s="59">
        <v>0</v>
      </c>
      <c r="C21" s="12">
        <v>9938</v>
      </c>
      <c r="D21" s="56">
        <f t="shared" si="0"/>
        <v>0</v>
      </c>
    </row>
    <row r="22" spans="1:4" x14ac:dyDescent="0.3">
      <c r="A22" s="11" t="s">
        <v>18</v>
      </c>
      <c r="B22" s="59">
        <v>144</v>
      </c>
      <c r="C22" s="12">
        <v>4467823</v>
      </c>
      <c r="D22" s="66">
        <f t="shared" si="0"/>
        <v>3.2230462128871264E-5</v>
      </c>
    </row>
    <row r="23" spans="1:4" x14ac:dyDescent="0.3">
      <c r="A23" s="11" t="s">
        <v>19</v>
      </c>
      <c r="B23" s="59" t="s">
        <v>96</v>
      </c>
      <c r="C23" s="12">
        <v>89537</v>
      </c>
      <c r="D23" s="55" t="s">
        <v>96</v>
      </c>
    </row>
    <row r="24" spans="1:4" x14ac:dyDescent="0.3">
      <c r="A24" s="11" t="s">
        <v>20</v>
      </c>
      <c r="B24" s="59">
        <v>107</v>
      </c>
      <c r="C24" s="12">
        <v>63082</v>
      </c>
      <c r="D24" s="66">
        <f t="shared" si="0"/>
        <v>1.6962049396024223E-3</v>
      </c>
    </row>
    <row r="25" spans="1:4" x14ac:dyDescent="0.3">
      <c r="A25" s="11" t="s">
        <v>69</v>
      </c>
      <c r="B25" s="59">
        <v>0</v>
      </c>
      <c r="C25" s="12">
        <v>6549</v>
      </c>
      <c r="D25" s="56">
        <f t="shared" si="0"/>
        <v>0</v>
      </c>
    </row>
    <row r="26" spans="1:4" x14ac:dyDescent="0.3">
      <c r="A26" s="11" t="s">
        <v>21</v>
      </c>
      <c r="B26" s="59" t="s">
        <v>96</v>
      </c>
      <c r="C26" s="12">
        <v>45737</v>
      </c>
      <c r="D26" s="55" t="s">
        <v>96</v>
      </c>
    </row>
    <row r="27" spans="1:4" x14ac:dyDescent="0.3">
      <c r="A27" s="11" t="s">
        <v>22</v>
      </c>
      <c r="B27" s="59">
        <v>153</v>
      </c>
      <c r="C27" s="12">
        <v>162812</v>
      </c>
      <c r="D27" s="66">
        <f t="shared" si="0"/>
        <v>9.3973417192835904E-4</v>
      </c>
    </row>
    <row r="28" spans="1:4" x14ac:dyDescent="0.3">
      <c r="A28" s="11" t="s">
        <v>23</v>
      </c>
      <c r="B28" s="59">
        <v>34</v>
      </c>
      <c r="C28" s="12">
        <v>4143</v>
      </c>
      <c r="D28" s="66">
        <f t="shared" si="0"/>
        <v>8.2066135650494809E-3</v>
      </c>
    </row>
    <row r="29" spans="1:4" x14ac:dyDescent="0.3">
      <c r="A29" s="11" t="s">
        <v>24</v>
      </c>
      <c r="B29" s="59">
        <v>0</v>
      </c>
      <c r="C29" s="12">
        <v>3898</v>
      </c>
      <c r="D29" s="56">
        <f t="shared" si="0"/>
        <v>0</v>
      </c>
    </row>
    <row r="30" spans="1:4" x14ac:dyDescent="0.3">
      <c r="A30" s="11" t="s">
        <v>25</v>
      </c>
      <c r="B30" s="59">
        <v>76</v>
      </c>
      <c r="C30" s="12">
        <v>215616</v>
      </c>
      <c r="D30" s="66">
        <f t="shared" si="0"/>
        <v>3.5247848026120508E-4</v>
      </c>
    </row>
    <row r="31" spans="1:4" x14ac:dyDescent="0.3">
      <c r="A31" s="11" t="s">
        <v>26</v>
      </c>
      <c r="B31" s="59" t="s">
        <v>96</v>
      </c>
      <c r="C31" s="12">
        <v>32248</v>
      </c>
      <c r="D31" s="55" t="s">
        <v>96</v>
      </c>
    </row>
    <row r="32" spans="1:4" x14ac:dyDescent="0.3">
      <c r="A32" s="11" t="s">
        <v>27</v>
      </c>
      <c r="B32" s="59">
        <v>605</v>
      </c>
      <c r="C32" s="12">
        <v>1098711</v>
      </c>
      <c r="D32" s="66">
        <f t="shared" si="0"/>
        <v>5.5064525612285664E-4</v>
      </c>
    </row>
    <row r="33" spans="1:4" x14ac:dyDescent="0.3">
      <c r="A33" s="11" t="s">
        <v>28</v>
      </c>
      <c r="B33" s="59">
        <v>72</v>
      </c>
      <c r="C33" s="12">
        <v>90224</v>
      </c>
      <c r="D33" s="66">
        <f t="shared" si="0"/>
        <v>7.9801383223975886E-4</v>
      </c>
    </row>
    <row r="34" spans="1:4" x14ac:dyDescent="0.3">
      <c r="A34" s="11" t="s">
        <v>29</v>
      </c>
      <c r="B34" s="59">
        <v>379</v>
      </c>
      <c r="C34" s="12">
        <v>1056167</v>
      </c>
      <c r="D34" s="66">
        <f t="shared" si="0"/>
        <v>3.5884476602658481E-4</v>
      </c>
    </row>
    <row r="35" spans="1:4" x14ac:dyDescent="0.3">
      <c r="A35" s="11" t="s">
        <v>30</v>
      </c>
      <c r="B35" s="59">
        <v>24</v>
      </c>
      <c r="C35" s="12">
        <v>687833</v>
      </c>
      <c r="D35" s="66">
        <f t="shared" si="0"/>
        <v>3.489219040086765E-5</v>
      </c>
    </row>
    <row r="36" spans="1:4" x14ac:dyDescent="0.3">
      <c r="A36" s="11" t="s">
        <v>31</v>
      </c>
      <c r="B36" s="59">
        <v>165</v>
      </c>
      <c r="C36" s="12">
        <v>1045731</v>
      </c>
      <c r="D36" s="66">
        <f t="shared" si="0"/>
        <v>1.5778436328271801E-4</v>
      </c>
    </row>
    <row r="37" spans="1:4" x14ac:dyDescent="0.3">
      <c r="A37" s="11" t="s">
        <v>32</v>
      </c>
      <c r="B37" s="59">
        <v>247</v>
      </c>
      <c r="C37" s="12">
        <v>1136462</v>
      </c>
      <c r="D37" s="66">
        <f t="shared" si="0"/>
        <v>2.1734118694685789E-4</v>
      </c>
    </row>
    <row r="38" spans="1:4" x14ac:dyDescent="0.3">
      <c r="A38" s="11" t="s">
        <v>33</v>
      </c>
      <c r="B38" s="59" t="s">
        <v>96</v>
      </c>
      <c r="C38" s="12">
        <v>271586</v>
      </c>
      <c r="D38" s="55" t="s">
        <v>96</v>
      </c>
    </row>
    <row r="39" spans="1:4" x14ac:dyDescent="0.3">
      <c r="A39" s="11" t="s">
        <v>34</v>
      </c>
      <c r="B39" s="59">
        <v>140</v>
      </c>
      <c r="C39" s="12">
        <v>348493</v>
      </c>
      <c r="D39" s="66">
        <f t="shared" si="0"/>
        <v>4.0172973345232186E-4</v>
      </c>
    </row>
    <row r="40" spans="1:4" ht="26.4" x14ac:dyDescent="0.3">
      <c r="A40" s="11" t="s">
        <v>35</v>
      </c>
      <c r="B40" s="59">
        <v>0</v>
      </c>
      <c r="C40" s="12">
        <v>75163</v>
      </c>
      <c r="D40" s="56">
        <f t="shared" si="0"/>
        <v>0</v>
      </c>
    </row>
    <row r="41" spans="1:4" x14ac:dyDescent="0.3">
      <c r="A41" s="11" t="s">
        <v>36</v>
      </c>
      <c r="B41" s="59">
        <v>0</v>
      </c>
      <c r="C41" s="12">
        <v>188043</v>
      </c>
      <c r="D41" s="56">
        <f t="shared" si="0"/>
        <v>0</v>
      </c>
    </row>
    <row r="42" spans="1:4" x14ac:dyDescent="0.3">
      <c r="A42" s="11" t="s">
        <v>37</v>
      </c>
      <c r="B42" s="59" t="s">
        <v>96</v>
      </c>
      <c r="C42" s="12">
        <v>186937</v>
      </c>
      <c r="D42" s="55" t="s">
        <v>96</v>
      </c>
    </row>
    <row r="43" spans="1:4" x14ac:dyDescent="0.3">
      <c r="A43" s="11" t="s">
        <v>38</v>
      </c>
      <c r="B43" s="59" t="s">
        <v>96</v>
      </c>
      <c r="C43" s="12">
        <v>519580</v>
      </c>
      <c r="D43" s="55" t="s">
        <v>96</v>
      </c>
    </row>
    <row r="44" spans="1:4" x14ac:dyDescent="0.3">
      <c r="A44" s="11" t="s">
        <v>39</v>
      </c>
      <c r="B44" s="59" t="s">
        <v>96</v>
      </c>
      <c r="C44" s="12">
        <v>89344</v>
      </c>
      <c r="D44" s="55" t="s">
        <v>96</v>
      </c>
    </row>
    <row r="45" spans="1:4" x14ac:dyDescent="0.3">
      <c r="A45" s="11" t="s">
        <v>40</v>
      </c>
      <c r="B45" s="59" t="s">
        <v>96</v>
      </c>
      <c r="C45" s="12">
        <v>76821</v>
      </c>
      <c r="D45" s="55" t="s">
        <v>96</v>
      </c>
    </row>
    <row r="46" spans="1:4" x14ac:dyDescent="0.3">
      <c r="A46" s="11" t="s">
        <v>41</v>
      </c>
      <c r="B46" s="59">
        <v>0</v>
      </c>
      <c r="C46" s="34">
        <v>903</v>
      </c>
      <c r="D46" s="56">
        <f t="shared" si="0"/>
        <v>0</v>
      </c>
    </row>
    <row r="47" spans="1:4" x14ac:dyDescent="0.3">
      <c r="A47" s="11" t="s">
        <v>42</v>
      </c>
      <c r="B47" s="59">
        <v>21</v>
      </c>
      <c r="C47" s="12">
        <v>21310</v>
      </c>
      <c r="D47" s="66">
        <f t="shared" si="0"/>
        <v>9.8545283904270288E-4</v>
      </c>
    </row>
    <row r="48" spans="1:4" x14ac:dyDescent="0.3">
      <c r="A48" s="11" t="s">
        <v>43</v>
      </c>
      <c r="B48" s="59">
        <v>0</v>
      </c>
      <c r="C48" s="12">
        <v>157770</v>
      </c>
      <c r="D48" s="56">
        <f t="shared" si="0"/>
        <v>0</v>
      </c>
    </row>
    <row r="49" spans="1:4" x14ac:dyDescent="0.3">
      <c r="A49" s="11" t="s">
        <v>44</v>
      </c>
      <c r="B49" s="59">
        <v>0</v>
      </c>
      <c r="C49" s="12">
        <v>150773</v>
      </c>
      <c r="D49" s="56">
        <f t="shared" si="0"/>
        <v>0</v>
      </c>
    </row>
    <row r="50" spans="1:4" x14ac:dyDescent="0.3">
      <c r="A50" s="11" t="s">
        <v>45</v>
      </c>
      <c r="B50" s="59" t="s">
        <v>96</v>
      </c>
      <c r="C50" s="12">
        <v>282201</v>
      </c>
      <c r="D50" s="55" t="s">
        <v>96</v>
      </c>
    </row>
    <row r="51" spans="1:4" x14ac:dyDescent="0.3">
      <c r="A51" s="11" t="s">
        <v>46</v>
      </c>
      <c r="B51" s="59">
        <v>97</v>
      </c>
      <c r="C51" s="12">
        <v>92310</v>
      </c>
      <c r="D51" s="66">
        <f t="shared" si="0"/>
        <v>1.0508070631567545E-3</v>
      </c>
    </row>
    <row r="52" spans="1:4" x14ac:dyDescent="0.3">
      <c r="A52" s="11" t="s">
        <v>70</v>
      </c>
      <c r="B52" s="59">
        <v>0</v>
      </c>
      <c r="C52" s="12">
        <v>34750</v>
      </c>
      <c r="D52" s="56">
        <f t="shared" si="0"/>
        <v>0</v>
      </c>
    </row>
    <row r="53" spans="1:4" x14ac:dyDescent="0.3">
      <c r="A53" s="11" t="s">
        <v>47</v>
      </c>
      <c r="B53" s="59">
        <v>0</v>
      </c>
      <c r="C53" s="12">
        <v>6428</v>
      </c>
      <c r="D53" s="56">
        <f t="shared" si="0"/>
        <v>0</v>
      </c>
    </row>
    <row r="54" spans="1:4" x14ac:dyDescent="0.3">
      <c r="A54" s="11" t="s">
        <v>48</v>
      </c>
      <c r="B54" s="59">
        <v>26</v>
      </c>
      <c r="C54" s="12">
        <v>311756</v>
      </c>
      <c r="D54" s="66">
        <f t="shared" si="0"/>
        <v>8.3398555280411607E-5</v>
      </c>
    </row>
    <row r="55" spans="1:4" x14ac:dyDescent="0.3">
      <c r="A55" s="11" t="s">
        <v>49</v>
      </c>
      <c r="B55" s="59" t="s">
        <v>96</v>
      </c>
      <c r="C55" s="12">
        <v>284355</v>
      </c>
      <c r="D55" s="55" t="s">
        <v>96</v>
      </c>
    </row>
    <row r="56" spans="1:4" ht="15" thickBot="1" x14ac:dyDescent="0.35">
      <c r="A56" s="13" t="s">
        <v>50</v>
      </c>
      <c r="B56" s="60" t="s">
        <v>96</v>
      </c>
      <c r="C56" s="14">
        <v>67709</v>
      </c>
      <c r="D56" s="57" t="s">
        <v>96</v>
      </c>
    </row>
    <row r="57" spans="1:4" ht="16.2" thickBot="1" x14ac:dyDescent="0.35">
      <c r="A57" s="15"/>
      <c r="B57" s="15"/>
    </row>
    <row r="58" spans="1:4" ht="15" thickBot="1" x14ac:dyDescent="0.35">
      <c r="A58" s="5" t="s">
        <v>51</v>
      </c>
      <c r="B58" s="5" t="s">
        <v>52</v>
      </c>
    </row>
    <row r="59" spans="1:4" ht="39.6" x14ac:dyDescent="0.3">
      <c r="A59" s="11" t="s">
        <v>65</v>
      </c>
      <c r="B59" s="16">
        <v>655</v>
      </c>
    </row>
    <row r="60" spans="1:4" ht="27" thickBot="1" x14ac:dyDescent="0.35">
      <c r="A60" s="13" t="s">
        <v>66</v>
      </c>
      <c r="B60" s="17">
        <v>1953</v>
      </c>
    </row>
    <row r="61" spans="1:4" ht="16.2" thickBot="1" x14ac:dyDescent="0.35">
      <c r="A61" s="15"/>
    </row>
    <row r="62" spans="1:4" ht="15" thickBot="1" x14ac:dyDescent="0.35">
      <c r="A62" s="5" t="s">
        <v>53</v>
      </c>
      <c r="B62" s="5" t="s">
        <v>52</v>
      </c>
    </row>
    <row r="63" spans="1:4" x14ac:dyDescent="0.3">
      <c r="A63" s="11" t="s">
        <v>54</v>
      </c>
      <c r="B63" s="16">
        <v>1252</v>
      </c>
    </row>
    <row r="64" spans="1:4" ht="15" thickBot="1" x14ac:dyDescent="0.35">
      <c r="A64" s="13" t="s">
        <v>55</v>
      </c>
      <c r="B64" s="17">
        <v>1356</v>
      </c>
    </row>
    <row r="65" spans="1:2" ht="16.2" thickBot="1" x14ac:dyDescent="0.35">
      <c r="A65" s="15"/>
    </row>
    <row r="66" spans="1:2" ht="27" thickBot="1" x14ac:dyDescent="0.35">
      <c r="A66" s="5" t="s">
        <v>56</v>
      </c>
      <c r="B66" s="5" t="s">
        <v>52</v>
      </c>
    </row>
    <row r="67" spans="1:2" ht="39.6" x14ac:dyDescent="0.3">
      <c r="A67" s="18" t="s">
        <v>58</v>
      </c>
      <c r="B67" s="19">
        <v>22</v>
      </c>
    </row>
    <row r="68" spans="1:2" ht="26.4" x14ac:dyDescent="0.3">
      <c r="A68" s="20" t="s">
        <v>59</v>
      </c>
      <c r="B68" s="21">
        <v>78</v>
      </c>
    </row>
    <row r="69" spans="1:2" x14ac:dyDescent="0.3">
      <c r="A69" s="20" t="s">
        <v>60</v>
      </c>
      <c r="B69" s="21">
        <v>292</v>
      </c>
    </row>
    <row r="70" spans="1:2" x14ac:dyDescent="0.3">
      <c r="A70" s="20" t="s">
        <v>61</v>
      </c>
      <c r="B70" s="21">
        <v>870</v>
      </c>
    </row>
    <row r="71" spans="1:2" x14ac:dyDescent="0.3">
      <c r="A71" s="20" t="s">
        <v>62</v>
      </c>
      <c r="B71" s="21">
        <v>894</v>
      </c>
    </row>
    <row r="72" spans="1:2" x14ac:dyDescent="0.3">
      <c r="A72" s="23" t="s">
        <v>63</v>
      </c>
      <c r="B72" s="24">
        <v>58</v>
      </c>
    </row>
    <row r="73" spans="1:2" ht="15" thickBot="1" x14ac:dyDescent="0.35">
      <c r="A73" s="13" t="s">
        <v>64</v>
      </c>
      <c r="B73" s="22">
        <v>394</v>
      </c>
    </row>
    <row r="75" spans="1:2" x14ac:dyDescent="0.3">
      <c r="A75" s="33" t="s">
        <v>84</v>
      </c>
    </row>
    <row r="76" spans="1:2" x14ac:dyDescent="0.3">
      <c r="A76" s="33" t="s">
        <v>87</v>
      </c>
    </row>
    <row r="77" spans="1:2" x14ac:dyDescent="0.3">
      <c r="A77" s="3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9FFE-93D2-420B-ACDE-826E105D1981}">
  <dimension ref="A1:D59"/>
  <sheetViews>
    <sheetView workbookViewId="0">
      <selection activeCell="F2" sqref="F2"/>
    </sheetView>
  </sheetViews>
  <sheetFormatPr defaultRowHeight="14.4" x14ac:dyDescent="0.3"/>
  <cols>
    <col min="1" max="1" width="15.44140625" customWidth="1"/>
    <col min="2" max="2" width="12.44140625" customWidth="1"/>
    <col min="3" max="3" width="16.109375" customWidth="1"/>
    <col min="4" max="4" width="16" customWidth="1"/>
  </cols>
  <sheetData>
    <row r="1" spans="1:4" ht="27" thickBot="1" x14ac:dyDescent="0.35">
      <c r="A1" s="1"/>
      <c r="B1" s="2" t="s">
        <v>71</v>
      </c>
    </row>
    <row r="2" spans="1:4" ht="45" customHeight="1" thickBot="1" x14ac:dyDescent="0.35">
      <c r="A2" s="3" t="s">
        <v>57</v>
      </c>
      <c r="B2" s="4">
        <v>82</v>
      </c>
    </row>
    <row r="3" spans="1:4" ht="15" thickBot="1" x14ac:dyDescent="0.35"/>
    <row r="4" spans="1:4" ht="40.200000000000003" thickBot="1" x14ac:dyDescent="0.35">
      <c r="A4" s="5" t="s">
        <v>1</v>
      </c>
      <c r="B4" s="6" t="s">
        <v>68</v>
      </c>
      <c r="C4" s="6" t="s">
        <v>92</v>
      </c>
      <c r="D4" s="7" t="s">
        <v>90</v>
      </c>
    </row>
    <row r="5" spans="1:4" x14ac:dyDescent="0.3">
      <c r="A5" s="8" t="s">
        <v>2</v>
      </c>
      <c r="B5" s="9">
        <v>0</v>
      </c>
      <c r="C5" s="9">
        <v>525061</v>
      </c>
      <c r="D5" s="10">
        <f>B5/C5</f>
        <v>0</v>
      </c>
    </row>
    <row r="6" spans="1:4" x14ac:dyDescent="0.3">
      <c r="A6" s="11" t="s">
        <v>7</v>
      </c>
      <c r="B6" s="12">
        <v>0</v>
      </c>
      <c r="C6" s="12">
        <v>353556</v>
      </c>
      <c r="D6" s="10">
        <f t="shared" ref="D6:D11" si="0">B6/C6</f>
        <v>0</v>
      </c>
    </row>
    <row r="7" spans="1:4" x14ac:dyDescent="0.3">
      <c r="A7" s="11" t="s">
        <v>9</v>
      </c>
      <c r="B7" s="12">
        <v>0</v>
      </c>
      <c r="C7" s="12">
        <v>46367</v>
      </c>
      <c r="D7" s="10">
        <f t="shared" si="0"/>
        <v>0</v>
      </c>
    </row>
    <row r="8" spans="1:4" x14ac:dyDescent="0.3">
      <c r="A8" s="11" t="s">
        <v>10</v>
      </c>
      <c r="B8" s="12">
        <v>0</v>
      </c>
      <c r="C8" s="12">
        <v>570097</v>
      </c>
      <c r="D8" s="10">
        <f t="shared" si="0"/>
        <v>0</v>
      </c>
    </row>
    <row r="9" spans="1:4" x14ac:dyDescent="0.3">
      <c r="A9" s="11" t="s">
        <v>12</v>
      </c>
      <c r="B9" s="12">
        <v>0</v>
      </c>
      <c r="C9" s="12">
        <v>66302</v>
      </c>
      <c r="D9" s="10">
        <f t="shared" si="0"/>
        <v>0</v>
      </c>
    </row>
    <row r="10" spans="1:4" x14ac:dyDescent="0.3">
      <c r="A10" s="11" t="s">
        <v>14</v>
      </c>
      <c r="B10" s="12">
        <v>0</v>
      </c>
      <c r="C10" s="12">
        <v>523731</v>
      </c>
      <c r="D10" s="10">
        <f t="shared" si="0"/>
        <v>0</v>
      </c>
    </row>
    <row r="11" spans="1:4" x14ac:dyDescent="0.3">
      <c r="A11" s="11" t="s">
        <v>17</v>
      </c>
      <c r="B11" s="12">
        <v>0</v>
      </c>
      <c r="C11" s="12">
        <v>9821</v>
      </c>
      <c r="D11" s="10">
        <f t="shared" si="0"/>
        <v>0</v>
      </c>
    </row>
    <row r="12" spans="1:4" x14ac:dyDescent="0.3">
      <c r="A12" s="11" t="s">
        <v>18</v>
      </c>
      <c r="B12" s="59" t="s">
        <v>96</v>
      </c>
      <c r="C12" s="12">
        <v>4527004</v>
      </c>
      <c r="D12" s="55" t="s">
        <v>96</v>
      </c>
    </row>
    <row r="13" spans="1:4" x14ac:dyDescent="0.3">
      <c r="A13" s="11" t="s">
        <v>20</v>
      </c>
      <c r="B13" s="12">
        <v>0</v>
      </c>
      <c r="C13" s="12">
        <v>61690</v>
      </c>
      <c r="D13" s="10">
        <f t="shared" ref="D13:D38" si="1">B13/C13</f>
        <v>0</v>
      </c>
    </row>
    <row r="14" spans="1:4" x14ac:dyDescent="0.3">
      <c r="A14" s="11" t="s">
        <v>21</v>
      </c>
      <c r="B14" s="12">
        <v>0</v>
      </c>
      <c r="C14" s="12">
        <v>46043</v>
      </c>
      <c r="D14" s="10">
        <f t="shared" si="1"/>
        <v>0</v>
      </c>
    </row>
    <row r="15" spans="1:4" x14ac:dyDescent="0.3">
      <c r="A15" s="11" t="s">
        <v>23</v>
      </c>
      <c r="B15" s="12">
        <v>0</v>
      </c>
      <c r="C15" s="12">
        <v>4336</v>
      </c>
      <c r="D15" s="10">
        <f t="shared" si="1"/>
        <v>0</v>
      </c>
    </row>
    <row r="16" spans="1:4" x14ac:dyDescent="0.3">
      <c r="A16" s="11" t="s">
        <v>25</v>
      </c>
      <c r="B16" s="12">
        <v>0</v>
      </c>
      <c r="C16" s="12">
        <v>214625</v>
      </c>
      <c r="D16" s="10">
        <f t="shared" si="1"/>
        <v>0</v>
      </c>
    </row>
    <row r="17" spans="1:4" x14ac:dyDescent="0.3">
      <c r="A17" s="11" t="s">
        <v>26</v>
      </c>
      <c r="B17" s="12">
        <v>0</v>
      </c>
      <c r="C17" s="12">
        <v>31178</v>
      </c>
      <c r="D17" s="10">
        <f t="shared" si="1"/>
        <v>0</v>
      </c>
    </row>
    <row r="18" spans="1:4" x14ac:dyDescent="0.3">
      <c r="A18" s="11" t="s">
        <v>27</v>
      </c>
      <c r="B18" s="12">
        <v>0</v>
      </c>
      <c r="C18" s="12">
        <v>1069485</v>
      </c>
      <c r="D18" s="10">
        <f t="shared" si="1"/>
        <v>0</v>
      </c>
    </row>
    <row r="19" spans="1:4" x14ac:dyDescent="0.3">
      <c r="A19" s="11" t="s">
        <v>28</v>
      </c>
      <c r="B19" s="12">
        <v>0</v>
      </c>
      <c r="C19" s="12">
        <v>86166</v>
      </c>
      <c r="D19" s="10">
        <f t="shared" si="1"/>
        <v>0</v>
      </c>
    </row>
    <row r="20" spans="1:4" x14ac:dyDescent="0.3">
      <c r="A20" s="11" t="s">
        <v>29</v>
      </c>
      <c r="B20" s="59" t="s">
        <v>96</v>
      </c>
      <c r="C20" s="12">
        <v>1043346</v>
      </c>
      <c r="D20" s="55" t="s">
        <v>96</v>
      </c>
    </row>
    <row r="21" spans="1:4" x14ac:dyDescent="0.3">
      <c r="A21" s="11" t="s">
        <v>30</v>
      </c>
      <c r="B21" s="12">
        <v>0</v>
      </c>
      <c r="C21" s="12">
        <v>684258</v>
      </c>
      <c r="D21" s="10">
        <f t="shared" si="1"/>
        <v>0</v>
      </c>
    </row>
    <row r="22" spans="1:4" x14ac:dyDescent="0.3">
      <c r="A22" s="11" t="s">
        <v>31</v>
      </c>
      <c r="B22" s="59" t="s">
        <v>96</v>
      </c>
      <c r="C22" s="12">
        <v>1036384</v>
      </c>
      <c r="D22" s="55" t="s">
        <v>96</v>
      </c>
    </row>
    <row r="23" spans="1:4" x14ac:dyDescent="0.3">
      <c r="A23" s="11" t="s">
        <v>32</v>
      </c>
      <c r="B23" s="12">
        <v>0</v>
      </c>
      <c r="C23" s="12">
        <v>1105540</v>
      </c>
      <c r="D23" s="10">
        <f t="shared" si="1"/>
        <v>0</v>
      </c>
    </row>
    <row r="24" spans="1:4" x14ac:dyDescent="0.3">
      <c r="A24" s="11" t="s">
        <v>33</v>
      </c>
      <c r="B24" s="12">
        <v>0</v>
      </c>
      <c r="C24" s="12">
        <v>266914</v>
      </c>
      <c r="D24" s="10">
        <f t="shared" si="1"/>
        <v>0</v>
      </c>
    </row>
    <row r="25" spans="1:4" x14ac:dyDescent="0.3">
      <c r="A25" s="11" t="s">
        <v>34</v>
      </c>
      <c r="B25" s="12">
        <v>0</v>
      </c>
      <c r="C25" s="12">
        <v>345956</v>
      </c>
      <c r="D25" s="10">
        <f t="shared" si="1"/>
        <v>0</v>
      </c>
    </row>
    <row r="26" spans="1:4" ht="26.4" x14ac:dyDescent="0.3">
      <c r="A26" s="11" t="s">
        <v>35</v>
      </c>
      <c r="B26" s="12">
        <v>0</v>
      </c>
      <c r="C26" s="12">
        <v>74426</v>
      </c>
      <c r="D26" s="10">
        <f t="shared" si="1"/>
        <v>0</v>
      </c>
    </row>
    <row r="27" spans="1:4" x14ac:dyDescent="0.3">
      <c r="A27" s="11" t="s">
        <v>36</v>
      </c>
      <c r="B27" s="12">
        <v>0</v>
      </c>
      <c r="C27" s="12">
        <v>181848</v>
      </c>
      <c r="D27" s="10">
        <f t="shared" si="1"/>
        <v>0</v>
      </c>
    </row>
    <row r="28" spans="1:4" x14ac:dyDescent="0.3">
      <c r="A28" s="11" t="s">
        <v>37</v>
      </c>
      <c r="B28" s="12">
        <v>0</v>
      </c>
      <c r="C28" s="12">
        <v>181470</v>
      </c>
      <c r="D28" s="10">
        <f t="shared" si="1"/>
        <v>0</v>
      </c>
    </row>
    <row r="29" spans="1:4" x14ac:dyDescent="0.3">
      <c r="A29" s="11" t="s">
        <v>38</v>
      </c>
      <c r="B29" s="12">
        <v>0</v>
      </c>
      <c r="C29" s="12">
        <v>513346</v>
      </c>
      <c r="D29" s="10">
        <f t="shared" si="1"/>
        <v>0</v>
      </c>
    </row>
    <row r="30" spans="1:4" x14ac:dyDescent="0.3">
      <c r="A30" s="11" t="s">
        <v>39</v>
      </c>
      <c r="B30" s="12">
        <v>0</v>
      </c>
      <c r="C30" s="12">
        <v>88198</v>
      </c>
      <c r="D30" s="10">
        <f t="shared" si="1"/>
        <v>0</v>
      </c>
    </row>
    <row r="31" spans="1:4" x14ac:dyDescent="0.3">
      <c r="A31" s="11" t="s">
        <v>40</v>
      </c>
      <c r="B31" s="12">
        <v>0</v>
      </c>
      <c r="C31" s="12">
        <v>77721</v>
      </c>
      <c r="D31" s="10">
        <f t="shared" si="1"/>
        <v>0</v>
      </c>
    </row>
    <row r="32" spans="1:4" x14ac:dyDescent="0.3">
      <c r="A32" s="11" t="s">
        <v>42</v>
      </c>
      <c r="B32" s="12">
        <v>0</v>
      </c>
      <c r="C32" s="12">
        <v>21543</v>
      </c>
      <c r="D32" s="10">
        <f t="shared" si="1"/>
        <v>0</v>
      </c>
    </row>
    <row r="33" spans="1:4" x14ac:dyDescent="0.3">
      <c r="A33" s="11" t="s">
        <v>43</v>
      </c>
      <c r="B33" s="12">
        <v>0</v>
      </c>
      <c r="C33" s="12">
        <v>153010</v>
      </c>
      <c r="D33" s="10">
        <f t="shared" si="1"/>
        <v>0</v>
      </c>
    </row>
    <row r="34" spans="1:4" x14ac:dyDescent="0.3">
      <c r="A34" s="11" t="s">
        <v>45</v>
      </c>
      <c r="B34" s="12">
        <v>0</v>
      </c>
      <c r="C34" s="12">
        <v>280521</v>
      </c>
      <c r="D34" s="10">
        <f t="shared" si="1"/>
        <v>0</v>
      </c>
    </row>
    <row r="35" spans="1:4" x14ac:dyDescent="0.3">
      <c r="A35" s="11" t="s">
        <v>47</v>
      </c>
      <c r="B35" s="12">
        <v>0</v>
      </c>
      <c r="C35" s="12">
        <v>6471</v>
      </c>
      <c r="D35" s="10">
        <f t="shared" si="1"/>
        <v>0</v>
      </c>
    </row>
    <row r="36" spans="1:4" x14ac:dyDescent="0.3">
      <c r="A36" s="11" t="s">
        <v>48</v>
      </c>
      <c r="B36" s="12">
        <v>0</v>
      </c>
      <c r="C36" s="12">
        <v>301302</v>
      </c>
      <c r="D36" s="10">
        <f t="shared" si="1"/>
        <v>0</v>
      </c>
    </row>
    <row r="37" spans="1:4" x14ac:dyDescent="0.3">
      <c r="A37" s="11" t="s">
        <v>49</v>
      </c>
      <c r="B37" s="12">
        <v>0</v>
      </c>
      <c r="C37" s="12">
        <v>277044</v>
      </c>
      <c r="D37" s="10">
        <f t="shared" si="1"/>
        <v>0</v>
      </c>
    </row>
    <row r="38" spans="1:4" ht="15" thickBot="1" x14ac:dyDescent="0.35">
      <c r="A38" s="13" t="s">
        <v>50</v>
      </c>
      <c r="B38" s="14">
        <v>0</v>
      </c>
      <c r="C38" s="14">
        <v>67060</v>
      </c>
      <c r="D38" s="4">
        <f t="shared" si="1"/>
        <v>0</v>
      </c>
    </row>
    <row r="39" spans="1:4" ht="16.2" thickBot="1" x14ac:dyDescent="0.35">
      <c r="A39" s="15"/>
      <c r="B39" s="15"/>
    </row>
    <row r="40" spans="1:4" ht="15" thickBot="1" x14ac:dyDescent="0.35">
      <c r="A40" s="5" t="s">
        <v>51</v>
      </c>
      <c r="B40" s="5" t="s">
        <v>52</v>
      </c>
    </row>
    <row r="41" spans="1:4" ht="39.6" x14ac:dyDescent="0.3">
      <c r="A41" s="11" t="s">
        <v>65</v>
      </c>
      <c r="B41" s="16" t="s">
        <v>96</v>
      </c>
    </row>
    <row r="42" spans="1:4" ht="27" thickBot="1" x14ac:dyDescent="0.35">
      <c r="A42" s="13" t="s">
        <v>66</v>
      </c>
      <c r="B42" s="17" t="s">
        <v>96</v>
      </c>
    </row>
    <row r="43" spans="1:4" ht="16.2" thickBot="1" x14ac:dyDescent="0.35">
      <c r="A43" s="15"/>
    </row>
    <row r="44" spans="1:4" ht="15" thickBot="1" x14ac:dyDescent="0.35">
      <c r="A44" s="5" t="s">
        <v>53</v>
      </c>
      <c r="B44" s="5" t="s">
        <v>52</v>
      </c>
    </row>
    <row r="45" spans="1:4" x14ac:dyDescent="0.3">
      <c r="A45" s="11" t="s">
        <v>54</v>
      </c>
      <c r="B45" s="16">
        <v>36</v>
      </c>
    </row>
    <row r="46" spans="1:4" ht="15" thickBot="1" x14ac:dyDescent="0.35">
      <c r="A46" s="13" t="s">
        <v>55</v>
      </c>
      <c r="B46" s="17">
        <v>46</v>
      </c>
    </row>
    <row r="47" spans="1:4" ht="16.2" thickBot="1" x14ac:dyDescent="0.35">
      <c r="A47" s="15"/>
    </row>
    <row r="48" spans="1:4" ht="27" thickBot="1" x14ac:dyDescent="0.35">
      <c r="A48" s="5" t="s">
        <v>56</v>
      </c>
      <c r="B48" s="5" t="s">
        <v>52</v>
      </c>
    </row>
    <row r="49" spans="1:2" ht="39.6" x14ac:dyDescent="0.3">
      <c r="A49" s="18" t="s">
        <v>58</v>
      </c>
      <c r="B49" s="19">
        <v>0</v>
      </c>
    </row>
    <row r="50" spans="1:2" ht="26.4" x14ac:dyDescent="0.3">
      <c r="A50" s="20" t="s">
        <v>59</v>
      </c>
      <c r="B50" s="21">
        <v>0</v>
      </c>
    </row>
    <row r="51" spans="1:2" x14ac:dyDescent="0.3">
      <c r="A51" s="20" t="s">
        <v>60</v>
      </c>
      <c r="B51" s="53" t="s">
        <v>96</v>
      </c>
    </row>
    <row r="52" spans="1:2" x14ac:dyDescent="0.3">
      <c r="A52" s="20" t="s">
        <v>61</v>
      </c>
      <c r="B52" s="53" t="s">
        <v>96</v>
      </c>
    </row>
    <row r="53" spans="1:2" x14ac:dyDescent="0.3">
      <c r="A53" s="20" t="s">
        <v>62</v>
      </c>
      <c r="B53" s="21">
        <v>39</v>
      </c>
    </row>
    <row r="54" spans="1:2" x14ac:dyDescent="0.3">
      <c r="A54" s="23" t="s">
        <v>63</v>
      </c>
      <c r="B54" s="24">
        <v>0</v>
      </c>
    </row>
    <row r="55" spans="1:2" ht="15" thickBot="1" x14ac:dyDescent="0.35">
      <c r="A55" s="13" t="s">
        <v>64</v>
      </c>
      <c r="B55" s="61" t="s">
        <v>96</v>
      </c>
    </row>
    <row r="57" spans="1:2" x14ac:dyDescent="0.3">
      <c r="A57" s="33" t="s">
        <v>84</v>
      </c>
    </row>
    <row r="58" spans="1:2" x14ac:dyDescent="0.3">
      <c r="A58" s="33" t="s">
        <v>87</v>
      </c>
    </row>
    <row r="59" spans="1:2" x14ac:dyDescent="0.3">
      <c r="A59" s="3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83EF-AA60-4695-9282-7F25845DB78A}">
  <dimension ref="A1:D60"/>
  <sheetViews>
    <sheetView topLeftCell="A21" workbookViewId="0">
      <selection activeCell="F4" sqref="F4"/>
    </sheetView>
  </sheetViews>
  <sheetFormatPr defaultRowHeight="14.4" x14ac:dyDescent="0.3"/>
  <cols>
    <col min="1" max="1" width="15.44140625" customWidth="1"/>
    <col min="2" max="2" width="12.44140625" customWidth="1"/>
    <col min="3" max="3" width="17.109375" customWidth="1"/>
    <col min="4" max="4" width="15.6640625" customWidth="1"/>
  </cols>
  <sheetData>
    <row r="1" spans="1:4" ht="39.6" customHeight="1" thickBot="1" x14ac:dyDescent="0.35">
      <c r="A1" s="1"/>
      <c r="B1" s="2" t="s">
        <v>71</v>
      </c>
    </row>
    <row r="2" spans="1:4" ht="51.9" customHeight="1" thickBot="1" x14ac:dyDescent="0.35">
      <c r="A2" s="3" t="s">
        <v>67</v>
      </c>
      <c r="B2" s="4">
        <v>3524</v>
      </c>
    </row>
    <row r="3" spans="1:4" ht="15" thickBot="1" x14ac:dyDescent="0.35"/>
    <row r="4" spans="1:4" ht="40.200000000000003" thickBot="1" x14ac:dyDescent="0.35">
      <c r="A4" s="5" t="s">
        <v>1</v>
      </c>
      <c r="B4" s="28" t="s">
        <v>68</v>
      </c>
      <c r="C4" s="6" t="s">
        <v>92</v>
      </c>
      <c r="D4" s="7" t="s">
        <v>90</v>
      </c>
    </row>
    <row r="5" spans="1:4" x14ac:dyDescent="0.3">
      <c r="A5" s="8" t="s">
        <v>2</v>
      </c>
      <c r="B5" s="58">
        <v>0</v>
      </c>
      <c r="C5" s="9">
        <v>536147</v>
      </c>
      <c r="D5" s="56">
        <f>B5/C5</f>
        <v>0</v>
      </c>
    </row>
    <row r="6" spans="1:4" x14ac:dyDescent="0.3">
      <c r="A6" s="11" t="s">
        <v>7</v>
      </c>
      <c r="B6" s="59">
        <v>0</v>
      </c>
      <c r="C6" s="12">
        <v>367117</v>
      </c>
      <c r="D6" s="56">
        <f t="shared" ref="D6:D36" si="0">B6/C6</f>
        <v>0</v>
      </c>
    </row>
    <row r="7" spans="1:4" x14ac:dyDescent="0.3">
      <c r="A7" s="11" t="s">
        <v>9</v>
      </c>
      <c r="B7" s="59">
        <v>0</v>
      </c>
      <c r="C7" s="12">
        <v>45711</v>
      </c>
      <c r="D7" s="56">
        <f t="shared" si="0"/>
        <v>0</v>
      </c>
    </row>
    <row r="8" spans="1:4" x14ac:dyDescent="0.3">
      <c r="A8" s="11" t="s">
        <v>10</v>
      </c>
      <c r="B8" s="59" t="s">
        <v>96</v>
      </c>
      <c r="C8" s="12">
        <v>579522</v>
      </c>
      <c r="D8" s="55" t="s">
        <v>96</v>
      </c>
    </row>
    <row r="9" spans="1:4" x14ac:dyDescent="0.3">
      <c r="A9" s="11" t="s">
        <v>12</v>
      </c>
      <c r="B9" s="59">
        <v>0</v>
      </c>
      <c r="C9" s="12">
        <v>65770</v>
      </c>
      <c r="D9" s="56">
        <f t="shared" si="0"/>
        <v>0</v>
      </c>
    </row>
    <row r="10" spans="1:4" x14ac:dyDescent="0.3">
      <c r="A10" s="11" t="s">
        <v>14</v>
      </c>
      <c r="B10" s="59" t="s">
        <v>96</v>
      </c>
      <c r="C10" s="12">
        <v>527315</v>
      </c>
      <c r="D10" s="55" t="s">
        <v>96</v>
      </c>
    </row>
    <row r="11" spans="1:4" x14ac:dyDescent="0.3">
      <c r="A11" s="11" t="s">
        <v>17</v>
      </c>
      <c r="B11" s="59">
        <v>0</v>
      </c>
      <c r="C11" s="12">
        <v>9938</v>
      </c>
      <c r="D11" s="56">
        <f t="shared" si="0"/>
        <v>0</v>
      </c>
    </row>
    <row r="12" spans="1:4" x14ac:dyDescent="0.3">
      <c r="A12" s="11" t="s">
        <v>18</v>
      </c>
      <c r="B12" s="59">
        <v>2054</v>
      </c>
      <c r="C12" s="12">
        <v>4467823</v>
      </c>
      <c r="D12" s="66">
        <f t="shared" si="0"/>
        <v>4.5973173064376094E-4</v>
      </c>
    </row>
    <row r="13" spans="1:4" x14ac:dyDescent="0.3">
      <c r="A13" s="11" t="s">
        <v>20</v>
      </c>
      <c r="B13" s="59">
        <v>0</v>
      </c>
      <c r="C13" s="12">
        <v>63082</v>
      </c>
      <c r="D13" s="56">
        <f t="shared" si="0"/>
        <v>0</v>
      </c>
    </row>
    <row r="14" spans="1:4" x14ac:dyDescent="0.3">
      <c r="A14" s="11" t="s">
        <v>69</v>
      </c>
      <c r="B14" s="59">
        <v>0</v>
      </c>
      <c r="C14" s="12">
        <v>6549</v>
      </c>
      <c r="D14" s="56">
        <v>0</v>
      </c>
    </row>
    <row r="15" spans="1:4" x14ac:dyDescent="0.3">
      <c r="A15" s="11" t="s">
        <v>21</v>
      </c>
      <c r="B15" s="59" t="s">
        <v>96</v>
      </c>
      <c r="C15" s="12">
        <v>45737</v>
      </c>
      <c r="D15" s="55" t="s">
        <v>96</v>
      </c>
    </row>
    <row r="16" spans="1:4" x14ac:dyDescent="0.3">
      <c r="A16" s="11" t="s">
        <v>23</v>
      </c>
      <c r="B16" s="59">
        <v>0</v>
      </c>
      <c r="C16" s="12">
        <v>4143</v>
      </c>
      <c r="D16" s="56">
        <v>0</v>
      </c>
    </row>
    <row r="17" spans="1:4" x14ac:dyDescent="0.3">
      <c r="A17" s="11" t="s">
        <v>25</v>
      </c>
      <c r="B17" s="59">
        <v>0</v>
      </c>
      <c r="C17" s="12">
        <v>215616</v>
      </c>
      <c r="D17" s="56">
        <f t="shared" si="0"/>
        <v>0</v>
      </c>
    </row>
    <row r="18" spans="1:4" x14ac:dyDescent="0.3">
      <c r="A18" s="11" t="s">
        <v>26</v>
      </c>
      <c r="B18" s="59">
        <v>0</v>
      </c>
      <c r="C18" s="12">
        <v>32248</v>
      </c>
      <c r="D18" s="56">
        <f t="shared" si="0"/>
        <v>0</v>
      </c>
    </row>
    <row r="19" spans="1:4" x14ac:dyDescent="0.3">
      <c r="A19" s="11" t="s">
        <v>27</v>
      </c>
      <c r="B19" s="59" t="s">
        <v>96</v>
      </c>
      <c r="C19" s="12">
        <v>1098711</v>
      </c>
      <c r="D19" s="55" t="s">
        <v>96</v>
      </c>
    </row>
    <row r="20" spans="1:4" x14ac:dyDescent="0.3">
      <c r="A20" s="11" t="s">
        <v>28</v>
      </c>
      <c r="B20" s="59" t="s">
        <v>96</v>
      </c>
      <c r="C20" s="12">
        <v>90224</v>
      </c>
      <c r="D20" s="55" t="s">
        <v>96</v>
      </c>
    </row>
    <row r="21" spans="1:4" x14ac:dyDescent="0.3">
      <c r="A21" s="11" t="s">
        <v>29</v>
      </c>
      <c r="B21" s="59">
        <v>812</v>
      </c>
      <c r="C21" s="12">
        <v>1056167</v>
      </c>
      <c r="D21" s="66">
        <f t="shared" si="0"/>
        <v>7.688178100622345E-4</v>
      </c>
    </row>
    <row r="22" spans="1:4" x14ac:dyDescent="0.3">
      <c r="A22" s="11" t="s">
        <v>30</v>
      </c>
      <c r="B22" s="59" t="s">
        <v>96</v>
      </c>
      <c r="C22" s="12">
        <v>687833</v>
      </c>
      <c r="D22" s="55" t="s">
        <v>96</v>
      </c>
    </row>
    <row r="23" spans="1:4" x14ac:dyDescent="0.3">
      <c r="A23" s="11" t="s">
        <v>31</v>
      </c>
      <c r="B23" s="59" t="s">
        <v>96</v>
      </c>
      <c r="C23" s="12">
        <v>1045731</v>
      </c>
      <c r="D23" s="55" t="s">
        <v>96</v>
      </c>
    </row>
    <row r="24" spans="1:4" x14ac:dyDescent="0.3">
      <c r="A24" s="11" t="s">
        <v>32</v>
      </c>
      <c r="B24" s="59">
        <v>488</v>
      </c>
      <c r="C24" s="12">
        <v>1136462</v>
      </c>
      <c r="D24" s="66">
        <f t="shared" si="0"/>
        <v>4.2940283089095809E-4</v>
      </c>
    </row>
    <row r="25" spans="1:4" x14ac:dyDescent="0.3">
      <c r="A25" s="11" t="s">
        <v>33</v>
      </c>
      <c r="B25" s="59">
        <v>0</v>
      </c>
      <c r="C25" s="12">
        <v>271586</v>
      </c>
      <c r="D25" s="56">
        <f t="shared" si="0"/>
        <v>0</v>
      </c>
    </row>
    <row r="26" spans="1:4" x14ac:dyDescent="0.3">
      <c r="A26" s="11" t="s">
        <v>34</v>
      </c>
      <c r="B26" s="59">
        <v>0</v>
      </c>
      <c r="C26" s="12">
        <v>348493</v>
      </c>
      <c r="D26" s="56">
        <v>0</v>
      </c>
    </row>
    <row r="27" spans="1:4" ht="26.4" x14ac:dyDescent="0.3">
      <c r="A27" s="11" t="s">
        <v>35</v>
      </c>
      <c r="B27" s="59">
        <v>0</v>
      </c>
      <c r="C27" s="12">
        <v>75163</v>
      </c>
      <c r="D27" s="56">
        <v>0</v>
      </c>
    </row>
    <row r="28" spans="1:4" x14ac:dyDescent="0.3">
      <c r="A28" s="11" t="s">
        <v>36</v>
      </c>
      <c r="B28" s="59" t="s">
        <v>96</v>
      </c>
      <c r="C28" s="12">
        <v>188043</v>
      </c>
      <c r="D28" s="55" t="s">
        <v>96</v>
      </c>
    </row>
    <row r="29" spans="1:4" x14ac:dyDescent="0.3">
      <c r="A29" s="11" t="s">
        <v>37</v>
      </c>
      <c r="B29" s="59" t="s">
        <v>96</v>
      </c>
      <c r="C29" s="12">
        <v>186937</v>
      </c>
      <c r="D29" s="55" t="s">
        <v>96</v>
      </c>
    </row>
    <row r="30" spans="1:4" x14ac:dyDescent="0.3">
      <c r="A30" s="11" t="s">
        <v>38</v>
      </c>
      <c r="B30" s="59" t="s">
        <v>96</v>
      </c>
      <c r="C30" s="12">
        <v>519580</v>
      </c>
      <c r="D30" s="55" t="s">
        <v>96</v>
      </c>
    </row>
    <row r="31" spans="1:4" x14ac:dyDescent="0.3">
      <c r="A31" s="11" t="s">
        <v>39</v>
      </c>
      <c r="B31" s="59">
        <v>66</v>
      </c>
      <c r="C31" s="12">
        <v>89344</v>
      </c>
      <c r="D31" s="66">
        <f t="shared" si="0"/>
        <v>7.3871776504297998E-4</v>
      </c>
    </row>
    <row r="32" spans="1:4" x14ac:dyDescent="0.3">
      <c r="A32" s="11" t="s">
        <v>40</v>
      </c>
      <c r="B32" s="59">
        <v>0</v>
      </c>
      <c r="C32" s="12">
        <v>76821</v>
      </c>
      <c r="D32" s="56">
        <f t="shared" si="0"/>
        <v>0</v>
      </c>
    </row>
    <row r="33" spans="1:4" x14ac:dyDescent="0.3">
      <c r="A33" s="11" t="s">
        <v>42</v>
      </c>
      <c r="B33" s="59">
        <v>0</v>
      </c>
      <c r="C33" s="12">
        <v>21310</v>
      </c>
      <c r="D33" s="56">
        <f t="shared" si="0"/>
        <v>0</v>
      </c>
    </row>
    <row r="34" spans="1:4" x14ac:dyDescent="0.3">
      <c r="A34" s="11" t="s">
        <v>43</v>
      </c>
      <c r="B34" s="59">
        <v>0</v>
      </c>
      <c r="C34" s="12">
        <v>157770</v>
      </c>
      <c r="D34" s="56">
        <f t="shared" si="0"/>
        <v>0</v>
      </c>
    </row>
    <row r="35" spans="1:4" x14ac:dyDescent="0.3">
      <c r="A35" s="11" t="s">
        <v>45</v>
      </c>
      <c r="B35" s="59">
        <v>31</v>
      </c>
      <c r="C35" s="12">
        <v>282201</v>
      </c>
      <c r="D35" s="66">
        <f t="shared" si="0"/>
        <v>1.0985078011771751E-4</v>
      </c>
    </row>
    <row r="36" spans="1:4" x14ac:dyDescent="0.3">
      <c r="A36" s="11" t="s">
        <v>47</v>
      </c>
      <c r="B36" s="59">
        <v>0</v>
      </c>
      <c r="C36" s="12">
        <v>6428</v>
      </c>
      <c r="D36" s="56">
        <f t="shared" si="0"/>
        <v>0</v>
      </c>
    </row>
    <row r="37" spans="1:4" x14ac:dyDescent="0.3">
      <c r="A37" s="11" t="s">
        <v>48</v>
      </c>
      <c r="B37" s="59" t="s">
        <v>96</v>
      </c>
      <c r="C37" s="12">
        <v>311756</v>
      </c>
      <c r="D37" s="55" t="s">
        <v>96</v>
      </c>
    </row>
    <row r="38" spans="1:4" x14ac:dyDescent="0.3">
      <c r="A38" s="11" t="s">
        <v>49</v>
      </c>
      <c r="B38" s="59" t="s">
        <v>96</v>
      </c>
      <c r="C38" s="12">
        <v>284355</v>
      </c>
      <c r="D38" s="55" t="s">
        <v>96</v>
      </c>
    </row>
    <row r="39" spans="1:4" ht="15" thickBot="1" x14ac:dyDescent="0.35">
      <c r="A39" s="13" t="s">
        <v>50</v>
      </c>
      <c r="B39" s="60" t="s">
        <v>96</v>
      </c>
      <c r="C39" s="14">
        <v>67709</v>
      </c>
      <c r="D39" s="57" t="s">
        <v>96</v>
      </c>
    </row>
    <row r="40" spans="1:4" ht="16.2" thickBot="1" x14ac:dyDescent="0.35">
      <c r="A40" s="15"/>
      <c r="B40" s="15"/>
    </row>
    <row r="41" spans="1:4" ht="15" thickBot="1" x14ac:dyDescent="0.35">
      <c r="A41" s="5" t="s">
        <v>51</v>
      </c>
      <c r="B41" s="5" t="s">
        <v>52</v>
      </c>
    </row>
    <row r="42" spans="1:4" ht="39.6" x14ac:dyDescent="0.3">
      <c r="A42" s="11" t="s">
        <v>65</v>
      </c>
      <c r="B42" s="16">
        <v>143</v>
      </c>
    </row>
    <row r="43" spans="1:4" ht="27" thickBot="1" x14ac:dyDescent="0.35">
      <c r="A43" s="13" t="s">
        <v>66</v>
      </c>
      <c r="B43" s="17">
        <v>3381</v>
      </c>
    </row>
    <row r="44" spans="1:4" ht="16.2" thickBot="1" x14ac:dyDescent="0.35">
      <c r="A44" s="15"/>
    </row>
    <row r="45" spans="1:4" ht="15" thickBot="1" x14ac:dyDescent="0.35">
      <c r="A45" s="5" t="s">
        <v>53</v>
      </c>
      <c r="B45" s="5" t="s">
        <v>52</v>
      </c>
    </row>
    <row r="46" spans="1:4" x14ac:dyDescent="0.3">
      <c r="A46" s="11" t="s">
        <v>54</v>
      </c>
      <c r="B46" s="16">
        <v>1058</v>
      </c>
    </row>
    <row r="47" spans="1:4" ht="15" thickBot="1" x14ac:dyDescent="0.35">
      <c r="A47" s="13" t="s">
        <v>55</v>
      </c>
      <c r="B47" s="17">
        <v>2466</v>
      </c>
    </row>
    <row r="48" spans="1:4" ht="16.2" thickBot="1" x14ac:dyDescent="0.35">
      <c r="A48" s="15"/>
    </row>
    <row r="49" spans="1:2" ht="27" thickBot="1" x14ac:dyDescent="0.35">
      <c r="A49" s="5" t="s">
        <v>56</v>
      </c>
      <c r="B49" s="5" t="s">
        <v>52</v>
      </c>
    </row>
    <row r="50" spans="1:2" ht="39.6" x14ac:dyDescent="0.3">
      <c r="A50" s="18" t="s">
        <v>58</v>
      </c>
      <c r="B50" s="19">
        <v>19</v>
      </c>
    </row>
    <row r="51" spans="1:2" ht="26.4" x14ac:dyDescent="0.3">
      <c r="A51" s="20" t="s">
        <v>59</v>
      </c>
      <c r="B51" s="21">
        <v>63</v>
      </c>
    </row>
    <row r="52" spans="1:2" x14ac:dyDescent="0.3">
      <c r="A52" s="20" t="s">
        <v>60</v>
      </c>
      <c r="B52" s="21">
        <v>481</v>
      </c>
    </row>
    <row r="53" spans="1:2" x14ac:dyDescent="0.3">
      <c r="A53" s="20" t="s">
        <v>61</v>
      </c>
      <c r="B53" s="21">
        <v>1625</v>
      </c>
    </row>
    <row r="54" spans="1:2" x14ac:dyDescent="0.3">
      <c r="A54" s="20" t="s">
        <v>62</v>
      </c>
      <c r="B54" s="21">
        <v>1026</v>
      </c>
    </row>
    <row r="55" spans="1:2" x14ac:dyDescent="0.3">
      <c r="A55" s="23" t="s">
        <v>63</v>
      </c>
      <c r="B55" s="24">
        <v>41</v>
      </c>
    </row>
    <row r="56" spans="1:2" ht="15" thickBot="1" x14ac:dyDescent="0.35">
      <c r="A56" s="13" t="s">
        <v>64</v>
      </c>
      <c r="B56" s="22">
        <v>269</v>
      </c>
    </row>
    <row r="58" spans="1:2" x14ac:dyDescent="0.3">
      <c r="A58" s="33" t="s">
        <v>84</v>
      </c>
    </row>
    <row r="59" spans="1:2" x14ac:dyDescent="0.3">
      <c r="A59" s="33" t="s">
        <v>87</v>
      </c>
    </row>
    <row r="60" spans="1:2" x14ac:dyDescent="0.3">
      <c r="A60" s="3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310C-6922-48B6-BF0F-4C7A403B873C}">
  <dimension ref="A1:D33"/>
  <sheetViews>
    <sheetView workbookViewId="0">
      <selection activeCell="F1" sqref="F1"/>
    </sheetView>
  </sheetViews>
  <sheetFormatPr defaultRowHeight="14.4" x14ac:dyDescent="0.3"/>
  <cols>
    <col min="1" max="1" width="14.5546875" customWidth="1"/>
    <col min="2" max="2" width="13.109375" customWidth="1"/>
    <col min="3" max="3" width="17.109375" customWidth="1"/>
    <col min="4" max="4" width="16.6640625" customWidth="1"/>
  </cols>
  <sheetData>
    <row r="1" spans="1:4" ht="39" customHeight="1" thickBot="1" x14ac:dyDescent="0.35">
      <c r="A1" s="1"/>
      <c r="B1" s="2" t="s">
        <v>72</v>
      </c>
    </row>
    <row r="2" spans="1:4" ht="40.200000000000003" thickBot="1" x14ac:dyDescent="0.35">
      <c r="A2" s="3" t="s">
        <v>57</v>
      </c>
      <c r="B2" s="25">
        <v>0</v>
      </c>
    </row>
    <row r="3" spans="1:4" ht="15" thickBot="1" x14ac:dyDescent="0.35"/>
    <row r="4" spans="1:4" ht="40.200000000000003" thickBot="1" x14ac:dyDescent="0.35">
      <c r="A4" s="5" t="s">
        <v>1</v>
      </c>
      <c r="B4" s="6" t="s">
        <v>68</v>
      </c>
      <c r="C4" s="6" t="s">
        <v>92</v>
      </c>
      <c r="D4" s="7" t="s">
        <v>90</v>
      </c>
    </row>
    <row r="5" spans="1:4" x14ac:dyDescent="0.3">
      <c r="A5" s="8" t="s">
        <v>4</v>
      </c>
      <c r="B5" s="39">
        <v>0</v>
      </c>
      <c r="C5" s="9">
        <v>92341</v>
      </c>
      <c r="D5" s="40">
        <f>B5/C5</f>
        <v>0</v>
      </c>
    </row>
    <row r="6" spans="1:4" x14ac:dyDescent="0.3">
      <c r="A6" s="11" t="s">
        <v>8</v>
      </c>
      <c r="B6" s="39">
        <v>0</v>
      </c>
      <c r="C6" s="12">
        <v>13725</v>
      </c>
      <c r="D6" s="40">
        <f t="shared" ref="D6:D13" si="0">B6/C6</f>
        <v>0</v>
      </c>
    </row>
    <row r="7" spans="1:4" x14ac:dyDescent="0.3">
      <c r="A7" s="11" t="s">
        <v>13</v>
      </c>
      <c r="B7" s="39">
        <v>0</v>
      </c>
      <c r="C7" s="12">
        <v>6824</v>
      </c>
      <c r="D7" s="40">
        <f t="shared" si="0"/>
        <v>0</v>
      </c>
    </row>
    <row r="8" spans="1:4" x14ac:dyDescent="0.3">
      <c r="A8" s="11" t="s">
        <v>15</v>
      </c>
      <c r="B8" s="39">
        <v>0</v>
      </c>
      <c r="C8" s="12">
        <v>72292</v>
      </c>
      <c r="D8" s="40">
        <f t="shared" si="0"/>
        <v>0</v>
      </c>
    </row>
    <row r="9" spans="1:4" x14ac:dyDescent="0.3">
      <c r="A9" s="11" t="s">
        <v>16</v>
      </c>
      <c r="B9" s="39">
        <v>0</v>
      </c>
      <c r="C9" s="12">
        <v>38887</v>
      </c>
      <c r="D9" s="40">
        <f t="shared" si="0"/>
        <v>0</v>
      </c>
    </row>
    <row r="10" spans="1:4" x14ac:dyDescent="0.3">
      <c r="A10" s="11" t="s">
        <v>22</v>
      </c>
      <c r="B10" s="39">
        <v>0</v>
      </c>
      <c r="C10" s="12">
        <v>163477</v>
      </c>
      <c r="D10" s="40">
        <f t="shared" si="0"/>
        <v>0</v>
      </c>
    </row>
    <row r="11" spans="1:4" x14ac:dyDescent="0.3">
      <c r="A11" s="11" t="s">
        <v>41</v>
      </c>
      <c r="B11" s="39">
        <v>0</v>
      </c>
      <c r="C11" s="34">
        <v>948</v>
      </c>
      <c r="D11" s="40">
        <f t="shared" si="0"/>
        <v>0</v>
      </c>
    </row>
    <row r="12" spans="1:4" x14ac:dyDescent="0.3">
      <c r="A12" s="11" t="s">
        <v>44</v>
      </c>
      <c r="B12" s="39">
        <v>0</v>
      </c>
      <c r="C12" s="12">
        <v>145822</v>
      </c>
      <c r="D12" s="40">
        <f t="shared" si="0"/>
        <v>0</v>
      </c>
    </row>
    <row r="13" spans="1:4" ht="15" thickBot="1" x14ac:dyDescent="0.35">
      <c r="A13" s="13" t="s">
        <v>46</v>
      </c>
      <c r="B13" s="37">
        <v>0</v>
      </c>
      <c r="C13" s="37">
        <v>90769</v>
      </c>
      <c r="D13" s="41">
        <f t="shared" si="0"/>
        <v>0</v>
      </c>
    </row>
    <row r="14" spans="1:4" ht="16.2" thickBot="1" x14ac:dyDescent="0.35">
      <c r="A14" s="15"/>
      <c r="B14" s="15"/>
    </row>
    <row r="15" spans="1:4" ht="15" thickBot="1" x14ac:dyDescent="0.35">
      <c r="A15" s="5" t="s">
        <v>51</v>
      </c>
      <c r="B15" s="5" t="s">
        <v>52</v>
      </c>
    </row>
    <row r="16" spans="1:4" ht="39.6" x14ac:dyDescent="0.3">
      <c r="A16" s="11" t="s">
        <v>65</v>
      </c>
      <c r="B16" s="16">
        <v>0</v>
      </c>
    </row>
    <row r="17" spans="1:2" ht="26.4" x14ac:dyDescent="0.3">
      <c r="A17" s="11" t="s">
        <v>66</v>
      </c>
      <c r="B17" s="16">
        <v>0</v>
      </c>
    </row>
    <row r="18" spans="1:2" ht="16.2" thickBot="1" x14ac:dyDescent="0.35">
      <c r="A18" s="15"/>
    </row>
    <row r="19" spans="1:2" ht="15" thickBot="1" x14ac:dyDescent="0.35">
      <c r="A19" s="5" t="s">
        <v>53</v>
      </c>
      <c r="B19" s="5" t="s">
        <v>52</v>
      </c>
    </row>
    <row r="20" spans="1:2" x14ac:dyDescent="0.3">
      <c r="A20" s="11" t="s">
        <v>54</v>
      </c>
      <c r="B20" s="16">
        <v>0</v>
      </c>
    </row>
    <row r="21" spans="1:2" ht="15" thickBot="1" x14ac:dyDescent="0.35">
      <c r="A21" s="13" t="s">
        <v>55</v>
      </c>
      <c r="B21" s="17">
        <v>0</v>
      </c>
    </row>
    <row r="22" spans="1:2" ht="16.2" thickBot="1" x14ac:dyDescent="0.35">
      <c r="A22" s="15"/>
    </row>
    <row r="23" spans="1:2" ht="26.4" x14ac:dyDescent="0.3">
      <c r="A23" s="36" t="s">
        <v>56</v>
      </c>
      <c r="B23" s="38" t="s">
        <v>52</v>
      </c>
    </row>
    <row r="24" spans="1:2" ht="52.8" x14ac:dyDescent="0.3">
      <c r="A24" s="11" t="s">
        <v>58</v>
      </c>
      <c r="B24" s="16">
        <v>0</v>
      </c>
    </row>
    <row r="25" spans="1:2" ht="26.4" x14ac:dyDescent="0.3">
      <c r="A25" s="11" t="s">
        <v>59</v>
      </c>
      <c r="B25" s="16">
        <v>0</v>
      </c>
    </row>
    <row r="26" spans="1:2" x14ac:dyDescent="0.3">
      <c r="A26" s="11" t="s">
        <v>60</v>
      </c>
      <c r="B26" s="16">
        <v>0</v>
      </c>
    </row>
    <row r="27" spans="1:2" x14ac:dyDescent="0.3">
      <c r="A27" s="11" t="s">
        <v>61</v>
      </c>
      <c r="B27" s="16">
        <v>0</v>
      </c>
    </row>
    <row r="28" spans="1:2" x14ac:dyDescent="0.3">
      <c r="A28" s="11" t="s">
        <v>62</v>
      </c>
      <c r="B28" s="16">
        <v>0</v>
      </c>
    </row>
    <row r="29" spans="1:2" x14ac:dyDescent="0.3">
      <c r="A29" s="11" t="s">
        <v>63</v>
      </c>
      <c r="B29" s="16">
        <v>0</v>
      </c>
    </row>
    <row r="30" spans="1:2" ht="15" thickBot="1" x14ac:dyDescent="0.35">
      <c r="A30" s="13" t="s">
        <v>64</v>
      </c>
      <c r="B30" s="17">
        <v>0</v>
      </c>
    </row>
    <row r="32" spans="1:2" x14ac:dyDescent="0.3">
      <c r="A32" s="33" t="s">
        <v>87</v>
      </c>
    </row>
    <row r="33" spans="1:1" x14ac:dyDescent="0.3">
      <c r="A33" s="33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E5D-4F4D-46B1-A399-F518C23B9AE7}">
  <dimension ref="A1:D35"/>
  <sheetViews>
    <sheetView tabSelected="1" topLeftCell="A2" workbookViewId="0">
      <selection activeCell="F1" sqref="F1"/>
    </sheetView>
  </sheetViews>
  <sheetFormatPr defaultRowHeight="14.4" x14ac:dyDescent="0.3"/>
  <cols>
    <col min="1" max="1" width="14.5546875" customWidth="1"/>
    <col min="2" max="2" width="13.109375" customWidth="1"/>
    <col min="3" max="3" width="17.109375" customWidth="1"/>
    <col min="4" max="4" width="15.6640625" customWidth="1"/>
  </cols>
  <sheetData>
    <row r="1" spans="1:4" ht="25.5" customHeight="1" thickBot="1" x14ac:dyDescent="0.35">
      <c r="A1" s="1"/>
      <c r="B1" s="2" t="s">
        <v>72</v>
      </c>
    </row>
    <row r="2" spans="1:4" ht="40.200000000000003" thickBot="1" x14ac:dyDescent="0.35">
      <c r="A2" s="3" t="s">
        <v>67</v>
      </c>
      <c r="B2" s="64" t="s">
        <v>96</v>
      </c>
    </row>
    <row r="3" spans="1:4" ht="15" thickBot="1" x14ac:dyDescent="0.35"/>
    <row r="4" spans="1:4" ht="53.4" customHeight="1" thickBot="1" x14ac:dyDescent="0.35">
      <c r="A4" s="5" t="s">
        <v>1</v>
      </c>
      <c r="B4" s="6" t="s">
        <v>68</v>
      </c>
      <c r="C4" s="6" t="s">
        <v>92</v>
      </c>
      <c r="D4" s="7" t="s">
        <v>90</v>
      </c>
    </row>
    <row r="5" spans="1:4" x14ac:dyDescent="0.3">
      <c r="A5" s="8" t="s">
        <v>4</v>
      </c>
      <c r="B5" s="9">
        <v>0</v>
      </c>
      <c r="C5" s="9">
        <v>93448</v>
      </c>
      <c r="D5" s="42">
        <f>B5/C5</f>
        <v>0</v>
      </c>
    </row>
    <row r="6" spans="1:4" x14ac:dyDescent="0.3">
      <c r="A6" s="11" t="s">
        <v>8</v>
      </c>
      <c r="B6" s="12">
        <v>0</v>
      </c>
      <c r="C6" s="12">
        <v>13549</v>
      </c>
      <c r="D6" s="42">
        <f>B6/C6</f>
        <v>0</v>
      </c>
    </row>
    <row r="7" spans="1:4" x14ac:dyDescent="0.3">
      <c r="A7" s="11" t="s">
        <v>13</v>
      </c>
      <c r="B7" s="59" t="s">
        <v>96</v>
      </c>
      <c r="C7" s="12">
        <v>6296</v>
      </c>
      <c r="D7" s="62" t="s">
        <v>96</v>
      </c>
    </row>
    <row r="8" spans="1:4" x14ac:dyDescent="0.3">
      <c r="A8" s="11" t="s">
        <v>15</v>
      </c>
      <c r="B8" s="12">
        <v>0</v>
      </c>
      <c r="C8" s="12">
        <v>72680</v>
      </c>
      <c r="D8" s="43">
        <f t="shared" ref="D8:D9" si="0">B8/C8</f>
        <v>0</v>
      </c>
    </row>
    <row r="9" spans="1:4" x14ac:dyDescent="0.3">
      <c r="A9" s="11" t="s">
        <v>16</v>
      </c>
      <c r="B9" s="12">
        <v>0</v>
      </c>
      <c r="C9" s="12">
        <v>38605</v>
      </c>
      <c r="D9" s="43">
        <f t="shared" si="0"/>
        <v>0</v>
      </c>
    </row>
    <row r="10" spans="1:4" x14ac:dyDescent="0.3">
      <c r="A10" s="11" t="s">
        <v>22</v>
      </c>
      <c r="B10" s="59" t="s">
        <v>96</v>
      </c>
      <c r="C10" s="12">
        <v>162812</v>
      </c>
      <c r="D10" s="62" t="s">
        <v>96</v>
      </c>
    </row>
    <row r="11" spans="1:4" x14ac:dyDescent="0.3">
      <c r="A11" s="11" t="s">
        <v>41</v>
      </c>
      <c r="B11" s="12">
        <v>0</v>
      </c>
      <c r="C11" s="34">
        <v>903</v>
      </c>
      <c r="D11" s="43">
        <f t="shared" ref="D11:D13" si="1">B11/C11</f>
        <v>0</v>
      </c>
    </row>
    <row r="12" spans="1:4" x14ac:dyDescent="0.3">
      <c r="A12" s="11" t="s">
        <v>44</v>
      </c>
      <c r="B12" s="12">
        <v>0</v>
      </c>
      <c r="C12" s="12">
        <v>150773</v>
      </c>
      <c r="D12" s="43">
        <f t="shared" si="1"/>
        <v>0</v>
      </c>
    </row>
    <row r="13" spans="1:4" x14ac:dyDescent="0.3">
      <c r="A13" s="26" t="s">
        <v>46</v>
      </c>
      <c r="B13" s="27">
        <v>0</v>
      </c>
      <c r="C13" s="12">
        <v>92310</v>
      </c>
      <c r="D13" s="43">
        <f t="shared" si="1"/>
        <v>0</v>
      </c>
    </row>
    <row r="14" spans="1:4" ht="15" thickBot="1" x14ac:dyDescent="0.35">
      <c r="A14" s="13" t="s">
        <v>70</v>
      </c>
      <c r="B14" s="60" t="s">
        <v>96</v>
      </c>
      <c r="C14" s="44">
        <v>34750</v>
      </c>
      <c r="D14" s="63" t="s">
        <v>96</v>
      </c>
    </row>
    <row r="15" spans="1:4" ht="16.2" thickBot="1" x14ac:dyDescent="0.35">
      <c r="A15" s="15"/>
      <c r="B15" s="15"/>
    </row>
    <row r="16" spans="1:4" ht="15" thickBot="1" x14ac:dyDescent="0.35">
      <c r="A16" s="5" t="s">
        <v>51</v>
      </c>
      <c r="B16" s="5" t="s">
        <v>52</v>
      </c>
    </row>
    <row r="17" spans="1:2" ht="39.6" x14ac:dyDescent="0.3">
      <c r="A17" s="11" t="s">
        <v>65</v>
      </c>
      <c r="B17" s="16" t="s">
        <v>96</v>
      </c>
    </row>
    <row r="18" spans="1:2" ht="27" thickBot="1" x14ac:dyDescent="0.35">
      <c r="A18" s="13" t="s">
        <v>66</v>
      </c>
      <c r="B18" s="17" t="s">
        <v>96</v>
      </c>
    </row>
    <row r="19" spans="1:2" ht="16.2" thickBot="1" x14ac:dyDescent="0.35">
      <c r="A19" s="15"/>
    </row>
    <row r="20" spans="1:2" ht="15" thickBot="1" x14ac:dyDescent="0.35">
      <c r="A20" s="5" t="s">
        <v>53</v>
      </c>
      <c r="B20" s="5" t="s">
        <v>52</v>
      </c>
    </row>
    <row r="21" spans="1:2" x14ac:dyDescent="0.3">
      <c r="A21" s="11" t="s">
        <v>54</v>
      </c>
      <c r="B21" s="16" t="s">
        <v>96</v>
      </c>
    </row>
    <row r="22" spans="1:2" ht="15" thickBot="1" x14ac:dyDescent="0.35">
      <c r="A22" s="13" t="s">
        <v>55</v>
      </c>
      <c r="B22" s="17" t="s">
        <v>96</v>
      </c>
    </row>
    <row r="23" spans="1:2" ht="16.2" thickBot="1" x14ac:dyDescent="0.35">
      <c r="A23" s="15"/>
    </row>
    <row r="24" spans="1:2" ht="27" thickBot="1" x14ac:dyDescent="0.35">
      <c r="A24" s="5" t="s">
        <v>56</v>
      </c>
      <c r="B24" s="5" t="s">
        <v>52</v>
      </c>
    </row>
    <row r="25" spans="1:2" ht="52.8" x14ac:dyDescent="0.3">
      <c r="A25" s="18" t="s">
        <v>58</v>
      </c>
      <c r="B25" s="19">
        <v>0</v>
      </c>
    </row>
    <row r="26" spans="1:2" ht="26.4" x14ac:dyDescent="0.3">
      <c r="A26" s="20" t="s">
        <v>59</v>
      </c>
      <c r="B26" s="21">
        <v>0</v>
      </c>
    </row>
    <row r="27" spans="1:2" x14ac:dyDescent="0.3">
      <c r="A27" s="20" t="s">
        <v>60</v>
      </c>
      <c r="B27" s="53" t="s">
        <v>96</v>
      </c>
    </row>
    <row r="28" spans="1:2" x14ac:dyDescent="0.3">
      <c r="A28" s="20" t="s">
        <v>61</v>
      </c>
      <c r="B28" s="53" t="s">
        <v>96</v>
      </c>
    </row>
    <row r="29" spans="1:2" x14ac:dyDescent="0.3">
      <c r="A29" s="20" t="s">
        <v>62</v>
      </c>
      <c r="B29" s="53" t="s">
        <v>96</v>
      </c>
    </row>
    <row r="30" spans="1:2" x14ac:dyDescent="0.3">
      <c r="A30" s="23" t="s">
        <v>63</v>
      </c>
      <c r="B30" s="24">
        <v>0</v>
      </c>
    </row>
    <row r="31" spans="1:2" ht="15" thickBot="1" x14ac:dyDescent="0.35">
      <c r="A31" s="13" t="s">
        <v>64</v>
      </c>
      <c r="B31" s="22">
        <v>0</v>
      </c>
    </row>
    <row r="33" spans="1:1" x14ac:dyDescent="0.3">
      <c r="A33" s="33" t="s">
        <v>84</v>
      </c>
    </row>
    <row r="34" spans="1:1" x14ac:dyDescent="0.3">
      <c r="A34" s="33" t="s">
        <v>87</v>
      </c>
    </row>
    <row r="35" spans="1:1" x14ac:dyDescent="0.3">
      <c r="A35" s="33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D97E73F7BCE45847CBDC769C49354" ma:contentTypeVersion="6" ma:contentTypeDescription="Create a new document." ma:contentTypeScope="" ma:versionID="fae493817e615141255f1154bf120627">
  <xsd:schema xmlns:xsd="http://www.w3.org/2001/XMLSchema" xmlns:xs="http://www.w3.org/2001/XMLSchema" xmlns:p="http://schemas.microsoft.com/office/2006/metadata/properties" xmlns:ns3="a3b232b9-0899-4fc2-b062-e8df0d4a8234" targetNamespace="http://schemas.microsoft.com/office/2006/metadata/properties" ma:root="true" ma:fieldsID="11d90679aeca3feac43a91cc408083c3" ns3:_="">
    <xsd:import namespace="a3b232b9-0899-4fc2-b062-e8df0d4a82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232b9-0899-4fc2-b062-e8df0d4a82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b232b9-0899-4fc2-b062-e8df0d4a8234" xsi:nil="true"/>
  </documentManagement>
</p:properties>
</file>

<file path=customXml/itemProps1.xml><?xml version="1.0" encoding="utf-8"?>
<ds:datastoreItem xmlns:ds="http://schemas.openxmlformats.org/officeDocument/2006/customXml" ds:itemID="{3188E7C8-DBD2-4487-A100-F711B456E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232b9-0899-4fc2-b062-e8df0d4a82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23BC6D-6908-4C35-A4AB-F41802972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8BEDA3-0A34-4DE5-B2B2-4300C8FD0E81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3b232b9-0899-4fc2-b062-e8df0d4a8234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4720645-5fdd-4302-8e87-9becee4e5aa1}" enabled="1" method="Standard" siteId="{265c2dcd-2a6e-43aa-b2e8-26421a8c85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SMHS Peer Supports 2023</vt:lpstr>
      <vt:lpstr>SMHS Peer Supports 2024</vt:lpstr>
      <vt:lpstr>DMC-ODS Peer Supports 2023</vt:lpstr>
      <vt:lpstr>DMC-ODS Peer Supports 2024</vt:lpstr>
      <vt:lpstr>DMC Peer Supports 2023</vt:lpstr>
      <vt:lpstr>DMC Peer Supports 2024</vt:lpstr>
    </vt:vector>
  </TitlesOfParts>
  <Company>DHCS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Bartucco, Michael@DHCS</dc:creator>
  <cp:lastModifiedBy>Muddam, Sada Shiva Reddy@DHCS</cp:lastModifiedBy>
  <dcterms:created xsi:type="dcterms:W3CDTF">2025-09-19T16:25:41Z</dcterms:created>
  <dcterms:modified xsi:type="dcterms:W3CDTF">2025-12-12T01:48:32Z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0x0101000B9D97E73F7BCE45847CBDC769C49354</vt:lpwstr>
  </property>
</Properties>
</file>